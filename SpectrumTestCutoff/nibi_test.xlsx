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1.xml" ContentType="application/vnd.openxmlformats-officedocument.theme+xml"/>
  <Override PartName="/xl/charts/colors1.xml" ContentType="application/vnd.ms-office.chartcolorstyle+xml"/>
  <Override PartName="/xl/charts/style1.xml" ContentType="application/vnd.ms-office.chartstyle+xml"/>
  <Override PartName="/docProps/core.xml" ContentType="application/vnd.openxmlformats-package.core-properties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<sst xmlns="http://schemas.openxmlformats.org/spreadsheetml/2006/main" count="8" uniqueCount="8">
  <si>
    <t>Resolution</t>
  </si>
  <si>
    <t>T</t>
  </si>
  <si>
    <t>dt</t>
  </si>
  <si>
    <t>Cores</t>
  </si>
  <si>
    <t>alpha</t>
  </si>
  <si>
    <t>Time</t>
  </si>
  <si>
    <t xml:space="preserve">Time Sec</t>
  </si>
  <si>
    <t>Speedup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</si>
</sst>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h:mm:ss;@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164" xfId="0" applyNumberFormat="1"/>
    <xf fontId="0" fillId="0" borderId="0" numFmtId="0" xfId="0"/>
    <xf fontId="0" fillId="0" borderId="0" numFmtId="2" xfId="0" applyNumberFormat="1"/>
    <xf fontId="0" fillId="0" borderId="0" numFmtId="0" xfId="0">
      <protection hidden="0" locked="1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marker"/>
        <c:varyColors val="0"/>
        <c:ser>
          <c:idx val="0"/>
          <c:order val="0"/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xVal>
            <c:strRef>
              <c:f>Sheet1!$D$2:$D$9</c:f>
            </c:strRef>
          </c:xVal>
          <c:yVal>
            <c:numRef>
              <c:f>Sheet1!$H$2:$H$9</c:f>
            </c:numRef>
          </c:y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axId val="2140841479"/>
        <c:axId val="2140841480"/>
      </c:scatterChart>
      <c:valAx>
        <c:axId val="2140841479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2140841480"/>
        <c:crosses val="autoZero"/>
        <c:crossBetween val="between"/>
      </c:valAx>
      <c:valAx>
        <c:axId val="214084148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2140841479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>
      <a:off x="6562724" y="757237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marker"/>
        <c:varyColors val="0"/>
        <c:ser>
          <c:idx val="0"/>
          <c:order val="0"/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xVal>
            <c:strRef>
              <c:f>Sheet1!$D$13:$D$20</c:f>
            </c:strRef>
          </c:xVal>
          <c:yVal>
            <c:numRef>
              <c:f>Sheet1!$H$13:$H$20</c:f>
            </c:numRef>
          </c:y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axId val="2140841491"/>
        <c:axId val="2140841492"/>
      </c:scatterChart>
      <c:valAx>
        <c:axId val="2140841491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2140841492"/>
        <c:crosses val="autoZero"/>
        <c:crossBetween val="between"/>
      </c:valAx>
      <c:valAx>
        <c:axId val="214084149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214084149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>
      <a:off x="6562723" y="3576636"/>
      <a:ext cx="4552949" cy="2905124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9</xdr:col>
      <xdr:colOff>466724</xdr:colOff>
      <xdr:row>4</xdr:row>
      <xdr:rowOff>33336</xdr:rowOff>
    </xdr:from>
    <xdr:to>
      <xdr:col>17</xdr:col>
      <xdr:colOff>142874</xdr:colOff>
      <xdr:row>19</xdr:row>
      <xdr:rowOff>42861</xdr:rowOff>
    </xdr:to>
    <xdr:graphicFrame>
      <xdr:nvGraphicFramePr>
        <xdr:cNvPr id="583946" name=""/>
        <xdr:cNvGraphicFramePr>
          <a:graphicFrameLocks xmlns:a="http://schemas.openxmlformats.org/drawingml/2006/main"/>
        </xdr:cNvGraphicFramePr>
      </xdr:nvGraphicFramePr>
      <xdr:xfrm>
        <a:off x="6562724" y="757237"/>
        <a:ext cx="4552949" cy="27241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9</xdr:col>
      <xdr:colOff>466723</xdr:colOff>
      <xdr:row>19</xdr:row>
      <xdr:rowOff>138111</xdr:rowOff>
    </xdr:from>
    <xdr:to>
      <xdr:col>17</xdr:col>
      <xdr:colOff>142873</xdr:colOff>
      <xdr:row>35</xdr:row>
      <xdr:rowOff>147636</xdr:rowOff>
    </xdr:to>
    <xdr:graphicFrame>
      <xdr:nvGraphicFramePr>
        <xdr:cNvPr id="493733528" name=""/>
        <xdr:cNvGraphicFramePr>
          <a:graphicFrameLocks xmlns:a="http://schemas.openxmlformats.org/drawingml/2006/main"/>
        </xdr:cNvGraphicFramePr>
      </xdr:nvGraphicFramePr>
      <xdr:xfrm>
        <a:off x="6562723" y="3576636"/>
        <a:ext cx="4552949" cy="2905124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1.140625"/>
    <col customWidth="1" min="6" max="7" style="1" width="12.7109375"/>
  </cols>
  <sheetData>
    <row r="1" ht="14.25">
      <c r="A1" t="s">
        <v>0</v>
      </c>
      <c r="B1" t="s">
        <v>1</v>
      </c>
      <c r="C1" s="2" t="s">
        <v>2</v>
      </c>
      <c r="D1" t="s">
        <v>3</v>
      </c>
      <c r="E1" s="2" t="s">
        <v>4</v>
      </c>
      <c r="F1" s="1" t="s">
        <v>5</v>
      </c>
      <c r="G1" s="1" t="s">
        <v>6</v>
      </c>
      <c r="H1" t="s">
        <v>7</v>
      </c>
    </row>
    <row r="2" ht="14.25">
      <c r="A2" s="2">
        <v>256</v>
      </c>
      <c r="B2" s="2">
        <v>5</v>
      </c>
      <c r="C2">
        <f>2^-5</f>
        <v>0.03125</v>
      </c>
      <c r="D2" s="2">
        <v>1</v>
      </c>
      <c r="E2">
        <f t="shared" ref="E2:E22" si="0">16/256</f>
        <v>0.0625</v>
      </c>
      <c r="F2" s="1">
        <v>0.015775462962962963</v>
      </c>
      <c r="G2" s="3">
        <f t="shared" ref="G2:G9" si="1">HOUR(F2)*3600+MINUTE(F2)*60+SECOND(F2)</f>
        <v>1363</v>
      </c>
      <c r="H2">
        <f t="shared" ref="H2:H9" si="2">G$2/G2</f>
        <v>1</v>
      </c>
    </row>
    <row r="3" ht="14.25">
      <c r="A3" s="2">
        <v>256</v>
      </c>
      <c r="B3" s="2">
        <v>5</v>
      </c>
      <c r="C3" s="2">
        <f t="shared" ref="C3:C22" si="3">2^(-5)</f>
        <v>0.03125</v>
      </c>
      <c r="D3" s="2">
        <v>2</v>
      </c>
      <c r="E3" s="2">
        <f t="shared" si="0"/>
        <v>0.0625</v>
      </c>
      <c r="F3" s="1">
        <v>0.0094907407407407406</v>
      </c>
      <c r="G3" s="3">
        <f t="shared" si="1"/>
        <v>820</v>
      </c>
      <c r="H3">
        <f t="shared" si="2"/>
        <v>1.6621951219512194</v>
      </c>
    </row>
    <row r="4" ht="14.25">
      <c r="A4" s="4">
        <v>256</v>
      </c>
      <c r="B4" s="4">
        <v>5</v>
      </c>
      <c r="C4" s="2">
        <f t="shared" si="3"/>
        <v>0.03125</v>
      </c>
      <c r="D4" s="2">
        <v>4</v>
      </c>
      <c r="E4" s="2">
        <f t="shared" si="0"/>
        <v>0.0625</v>
      </c>
      <c r="F4" s="1">
        <v>0.0050000000000000001</v>
      </c>
      <c r="G4" s="3">
        <f t="shared" si="1"/>
        <v>432</v>
      </c>
      <c r="H4">
        <f t="shared" si="2"/>
        <v>3.1550925925925926</v>
      </c>
    </row>
    <row r="5" ht="14.25">
      <c r="A5" s="2">
        <v>256</v>
      </c>
      <c r="B5" s="2">
        <v>5</v>
      </c>
      <c r="C5" s="2">
        <f t="shared" si="3"/>
        <v>0.03125</v>
      </c>
      <c r="D5" s="2">
        <v>8</v>
      </c>
      <c r="E5" s="2">
        <f t="shared" si="0"/>
        <v>0.0625</v>
      </c>
      <c r="F5" s="1">
        <v>0.0030439814814814813</v>
      </c>
      <c r="G5" s="3">
        <f t="shared" si="1"/>
        <v>263</v>
      </c>
      <c r="H5">
        <f t="shared" si="2"/>
        <v>5.1825095057034218</v>
      </c>
    </row>
    <row r="6" ht="14.25">
      <c r="A6" s="4">
        <v>256</v>
      </c>
      <c r="B6" s="4">
        <v>5</v>
      </c>
      <c r="C6" s="2">
        <f t="shared" si="3"/>
        <v>0.03125</v>
      </c>
      <c r="D6" s="2">
        <v>16</v>
      </c>
      <c r="E6" s="2">
        <f t="shared" si="0"/>
        <v>0.0625</v>
      </c>
      <c r="F6" s="1">
        <v>0.0022106481481481482</v>
      </c>
      <c r="G6" s="3">
        <f t="shared" si="1"/>
        <v>191</v>
      </c>
      <c r="H6">
        <f t="shared" si="2"/>
        <v>7.1361256544502618</v>
      </c>
    </row>
    <row r="7" ht="14.25">
      <c r="A7" s="2">
        <v>256</v>
      </c>
      <c r="B7" s="2">
        <v>5</v>
      </c>
      <c r="C7" s="2">
        <f t="shared" si="3"/>
        <v>0.03125</v>
      </c>
      <c r="D7" s="2">
        <v>32</v>
      </c>
      <c r="E7" s="2">
        <f t="shared" si="0"/>
        <v>0.0625</v>
      </c>
      <c r="F7" s="1">
        <v>0.0013888888888888889</v>
      </c>
      <c r="G7" s="3">
        <f t="shared" si="1"/>
        <v>120</v>
      </c>
      <c r="H7">
        <f t="shared" si="2"/>
        <v>11.358333333333333</v>
      </c>
    </row>
    <row r="8" ht="14.25">
      <c r="A8" s="4">
        <v>256</v>
      </c>
      <c r="B8" s="4">
        <v>5</v>
      </c>
      <c r="C8" s="2">
        <f t="shared" si="3"/>
        <v>0.03125</v>
      </c>
      <c r="D8" s="2">
        <v>64</v>
      </c>
      <c r="E8" s="2">
        <f t="shared" si="0"/>
        <v>0.0625</v>
      </c>
      <c r="F8" s="1">
        <v>0.00099537037037037042</v>
      </c>
      <c r="G8" s="3">
        <f t="shared" si="1"/>
        <v>86</v>
      </c>
      <c r="H8">
        <f t="shared" si="2"/>
        <v>15.848837209302326</v>
      </c>
    </row>
    <row r="9" ht="14.25">
      <c r="A9" s="2">
        <v>256</v>
      </c>
      <c r="B9" s="2">
        <v>5</v>
      </c>
      <c r="C9" s="2">
        <f t="shared" si="3"/>
        <v>0.03125</v>
      </c>
      <c r="D9" s="2">
        <v>128</v>
      </c>
      <c r="E9" s="2">
        <f t="shared" si="0"/>
        <v>0.0625</v>
      </c>
      <c r="F9" s="1">
        <v>0.00089120370370370373</v>
      </c>
      <c r="G9" s="3">
        <f t="shared" si="1"/>
        <v>77</v>
      </c>
      <c r="H9">
        <f t="shared" si="2"/>
        <v>17.7012987012987</v>
      </c>
    </row>
    <row r="10" ht="14.25">
      <c r="A10" s="2">
        <v>256</v>
      </c>
      <c r="B10" s="2">
        <v>5</v>
      </c>
      <c r="C10" s="2">
        <f t="shared" si="3"/>
        <v>0.03125</v>
      </c>
      <c r="D10" s="2">
        <v>256</v>
      </c>
      <c r="E10" s="2">
        <f t="shared" si="0"/>
        <v>0.0625</v>
      </c>
      <c r="F10" s="1"/>
      <c r="G10" s="3" t="e">
        <f t="shared" ref="G10:G33" si="4">HOUR(F10)*3600+MINUTE(F10)*60+SECOND(F10)</f>
        <v>#VALUE!</v>
      </c>
      <c r="H10" t="e">
        <f t="shared" ref="H10:H11" si="5">G$2/G10</f>
        <v>#VALUE!</v>
      </c>
    </row>
    <row r="11" ht="14.25">
      <c r="A11">
        <v>256</v>
      </c>
      <c r="B11">
        <v>5</v>
      </c>
      <c r="C11" s="2">
        <f t="shared" si="3"/>
        <v>0.03125</v>
      </c>
      <c r="D11">
        <v>512</v>
      </c>
      <c r="E11" s="2">
        <f t="shared" si="0"/>
        <v>0.0625</v>
      </c>
      <c r="G11" s="3" t="e">
        <f t="shared" si="4"/>
        <v>#VALUE!</v>
      </c>
      <c r="H11" t="e">
        <f t="shared" si="5"/>
        <v>#VALUE!</v>
      </c>
    </row>
    <row r="12" ht="14.25">
      <c r="A12" s="2"/>
      <c r="B12" s="2"/>
      <c r="C12" s="2"/>
      <c r="D12" s="2"/>
      <c r="E12" s="2"/>
      <c r="F12" s="1"/>
      <c r="G12" s="3"/>
    </row>
    <row r="13" ht="14.25">
      <c r="A13" s="2">
        <v>512</v>
      </c>
      <c r="B13" s="2">
        <v>5</v>
      </c>
      <c r="C13">
        <f t="shared" si="3"/>
        <v>0.03125</v>
      </c>
      <c r="D13" s="2">
        <v>1</v>
      </c>
      <c r="E13">
        <f t="shared" si="0"/>
        <v>0.0625</v>
      </c>
      <c r="F13" s="1">
        <v>0.13925925925925925</v>
      </c>
      <c r="G13" s="3">
        <f t="shared" si="4"/>
        <v>12032</v>
      </c>
      <c r="H13">
        <f t="shared" ref="H13:H22" si="6">G$13/G13</f>
        <v>1</v>
      </c>
    </row>
    <row r="14" ht="14.25">
      <c r="A14">
        <v>512</v>
      </c>
      <c r="B14">
        <v>5</v>
      </c>
      <c r="C14" s="2">
        <f t="shared" si="3"/>
        <v>0.03125</v>
      </c>
      <c r="D14">
        <v>2</v>
      </c>
      <c r="E14" s="2">
        <f t="shared" si="0"/>
        <v>0.0625</v>
      </c>
      <c r="F14" s="1">
        <v>0.090462962962962967</v>
      </c>
      <c r="G14" s="3">
        <f t="shared" si="4"/>
        <v>7816</v>
      </c>
      <c r="H14">
        <f t="shared" si="6"/>
        <v>1.5394063459570113</v>
      </c>
    </row>
    <row r="15" ht="14.25">
      <c r="A15">
        <v>512</v>
      </c>
      <c r="B15" s="4">
        <v>5</v>
      </c>
      <c r="C15" s="2">
        <f t="shared" si="3"/>
        <v>0.03125</v>
      </c>
      <c r="D15">
        <v>4</v>
      </c>
      <c r="E15" s="2">
        <f t="shared" si="0"/>
        <v>0.0625</v>
      </c>
      <c r="F15" s="1">
        <v>0.051249999999999997</v>
      </c>
      <c r="G15" s="3">
        <f t="shared" si="4"/>
        <v>4428</v>
      </c>
      <c r="H15">
        <f t="shared" si="6"/>
        <v>2.7172538392050587</v>
      </c>
    </row>
    <row r="16" ht="14.25">
      <c r="A16">
        <v>512</v>
      </c>
      <c r="B16">
        <v>5</v>
      </c>
      <c r="C16" s="2">
        <f t="shared" si="3"/>
        <v>0.03125</v>
      </c>
      <c r="D16">
        <v>8</v>
      </c>
      <c r="E16" s="2">
        <f t="shared" si="0"/>
        <v>0.0625</v>
      </c>
      <c r="F16" s="1">
        <v>0.03366898148148148</v>
      </c>
      <c r="G16" s="3">
        <f t="shared" si="4"/>
        <v>2909</v>
      </c>
      <c r="H16">
        <f t="shared" si="6"/>
        <v>4.1361292540391883</v>
      </c>
    </row>
    <row r="17" ht="14.25">
      <c r="A17">
        <v>512</v>
      </c>
      <c r="B17" s="4">
        <v>5</v>
      </c>
      <c r="C17" s="2">
        <f t="shared" si="3"/>
        <v>0.03125</v>
      </c>
      <c r="D17">
        <v>16</v>
      </c>
      <c r="E17" s="2">
        <f t="shared" si="0"/>
        <v>0.0625</v>
      </c>
      <c r="F17" s="1">
        <v>0.019965277777777776</v>
      </c>
      <c r="G17" s="3">
        <f t="shared" si="4"/>
        <v>1725</v>
      </c>
      <c r="H17">
        <f t="shared" si="6"/>
        <v>6.9750724637681163</v>
      </c>
    </row>
    <row r="18" ht="14.25">
      <c r="A18">
        <v>512</v>
      </c>
      <c r="B18">
        <v>5</v>
      </c>
      <c r="C18" s="2">
        <f t="shared" si="3"/>
        <v>0.03125</v>
      </c>
      <c r="D18">
        <v>32</v>
      </c>
      <c r="E18" s="2">
        <f t="shared" si="0"/>
        <v>0.0625</v>
      </c>
      <c r="F18" s="1">
        <v>0.010659722222222221</v>
      </c>
      <c r="G18" s="3">
        <f t="shared" si="4"/>
        <v>921</v>
      </c>
      <c r="H18">
        <f t="shared" si="6"/>
        <v>13.064060803474485</v>
      </c>
    </row>
    <row r="19" ht="14.25">
      <c r="A19">
        <v>512</v>
      </c>
      <c r="B19" s="4">
        <v>5</v>
      </c>
      <c r="C19" s="2">
        <f t="shared" si="3"/>
        <v>0.03125</v>
      </c>
      <c r="D19">
        <v>64</v>
      </c>
      <c r="E19" s="2">
        <f t="shared" si="0"/>
        <v>0.0625</v>
      </c>
      <c r="F19" s="1">
        <v>0.0086689814814814806</v>
      </c>
      <c r="G19" s="3">
        <f t="shared" si="4"/>
        <v>749</v>
      </c>
      <c r="H19">
        <f t="shared" si="6"/>
        <v>16.064085447263018</v>
      </c>
    </row>
    <row r="20" ht="14.25">
      <c r="A20">
        <v>512</v>
      </c>
      <c r="B20">
        <v>5</v>
      </c>
      <c r="C20" s="2">
        <f t="shared" si="3"/>
        <v>0.03125</v>
      </c>
      <c r="D20">
        <v>128</v>
      </c>
      <c r="E20" s="2">
        <f t="shared" si="0"/>
        <v>0.0625</v>
      </c>
      <c r="F20" s="1">
        <v>0.0064583333333333333</v>
      </c>
      <c r="G20" s="3">
        <f t="shared" si="4"/>
        <v>558</v>
      </c>
      <c r="H20">
        <f t="shared" si="6"/>
        <v>21.562724014336919</v>
      </c>
    </row>
    <row r="21" ht="14.25">
      <c r="A21">
        <v>512</v>
      </c>
      <c r="B21">
        <v>5</v>
      </c>
      <c r="C21" s="2">
        <f t="shared" si="3"/>
        <v>0.03125</v>
      </c>
      <c r="D21">
        <v>256</v>
      </c>
      <c r="E21" s="2">
        <f t="shared" si="0"/>
        <v>0.0625</v>
      </c>
      <c r="G21" s="3" t="e">
        <f t="shared" si="4"/>
        <v>#VALUE!</v>
      </c>
      <c r="H21" t="e">
        <f t="shared" si="6"/>
        <v>#VALUE!</v>
      </c>
    </row>
    <row r="22" ht="14.25">
      <c r="A22">
        <v>512</v>
      </c>
      <c r="B22" s="4">
        <v>5</v>
      </c>
      <c r="C22" s="2">
        <f t="shared" si="3"/>
        <v>0.03125</v>
      </c>
      <c r="D22" s="4">
        <v>512</v>
      </c>
      <c r="E22" s="2">
        <f t="shared" si="0"/>
        <v>0.0625</v>
      </c>
      <c r="G22" s="3" t="e">
        <f t="shared" si="4"/>
        <v>#VALUE!</v>
      </c>
      <c r="H22" t="e">
        <f t="shared" si="6"/>
        <v>#VALUE!</v>
      </c>
    </row>
    <row r="23" ht="14.25">
      <c r="B23" s="4"/>
      <c r="C23" s="2"/>
      <c r="D23" s="4"/>
      <c r="E23" s="2"/>
      <c r="G23" s="3"/>
    </row>
    <row r="24" ht="14.25">
      <c r="A24">
        <v>1024</v>
      </c>
      <c r="B24" s="5">
        <v>5</v>
      </c>
      <c r="C24">
        <f>2^(-5)</f>
        <v>0.03125</v>
      </c>
      <c r="D24" s="5">
        <v>1</v>
      </c>
      <c r="E24">
        <f>16/256</f>
        <v>0.0625</v>
      </c>
      <c r="G24" s="3" t="e">
        <f>HOUR(F24)*3600+MINUTE(F24)*60+SECOND(F24)</f>
        <v>#VALUE!</v>
      </c>
      <c r="H24" t="e">
        <f>G$24/G24</f>
        <v>#VALUE!</v>
      </c>
    </row>
    <row r="25" ht="14.25">
      <c r="A25">
        <v>1024</v>
      </c>
      <c r="B25">
        <v>5</v>
      </c>
      <c r="C25" s="2">
        <f>2^(-5)</f>
        <v>0.03125</v>
      </c>
      <c r="D25">
        <v>2</v>
      </c>
      <c r="E25" s="2">
        <f>16/256</f>
        <v>0.0625</v>
      </c>
      <c r="G25" s="3" t="e">
        <f t="shared" si="4"/>
        <v>#VALUE!</v>
      </c>
      <c r="H25" t="e">
        <f>G$24/G25</f>
        <v>#VALUE!</v>
      </c>
    </row>
    <row r="26" ht="14.25">
      <c r="A26">
        <v>1024</v>
      </c>
      <c r="B26" s="4">
        <v>5</v>
      </c>
      <c r="C26" s="2">
        <f>2^(-5)</f>
        <v>0.03125</v>
      </c>
      <c r="D26">
        <v>4</v>
      </c>
      <c r="E26" s="2">
        <f>16/256</f>
        <v>0.0625</v>
      </c>
      <c r="G26" s="3" t="e">
        <f t="shared" si="4"/>
        <v>#VALUE!</v>
      </c>
      <c r="H26" t="e">
        <f>G$24/G26</f>
        <v>#VALUE!</v>
      </c>
    </row>
    <row r="27" ht="14.25">
      <c r="A27">
        <v>1024</v>
      </c>
      <c r="B27">
        <v>5</v>
      </c>
      <c r="C27" s="2">
        <f>2^(-5)</f>
        <v>0.03125</v>
      </c>
      <c r="D27">
        <v>8</v>
      </c>
      <c r="E27" s="2">
        <f>16/256</f>
        <v>0.0625</v>
      </c>
      <c r="G27" s="3" t="e">
        <f t="shared" si="4"/>
        <v>#VALUE!</v>
      </c>
      <c r="H27" t="e">
        <f>G$24/G27</f>
        <v>#VALUE!</v>
      </c>
    </row>
    <row r="28" ht="14.25">
      <c r="A28">
        <v>1024</v>
      </c>
      <c r="B28" s="4">
        <v>5</v>
      </c>
      <c r="C28" s="2">
        <f>2^(-5)</f>
        <v>0.03125</v>
      </c>
      <c r="D28">
        <v>16</v>
      </c>
      <c r="E28" s="2">
        <f>16/256</f>
        <v>0.0625</v>
      </c>
      <c r="G28" s="3" t="e">
        <f t="shared" si="4"/>
        <v>#VALUE!</v>
      </c>
      <c r="H28" t="e">
        <f>G$24/G28</f>
        <v>#VALUE!</v>
      </c>
    </row>
    <row r="29" ht="14.25">
      <c r="A29">
        <v>1024</v>
      </c>
      <c r="B29">
        <v>5</v>
      </c>
      <c r="C29" s="2">
        <f>2^(-5)</f>
        <v>0.03125</v>
      </c>
      <c r="D29">
        <v>32</v>
      </c>
      <c r="E29" s="2">
        <f>16/256</f>
        <v>0.0625</v>
      </c>
      <c r="G29" s="3" t="e">
        <f t="shared" si="4"/>
        <v>#VALUE!</v>
      </c>
      <c r="H29" t="e">
        <f>G$24/G29</f>
        <v>#VALUE!</v>
      </c>
    </row>
    <row r="30" ht="14.25">
      <c r="A30">
        <v>1024</v>
      </c>
      <c r="B30" s="4">
        <v>5</v>
      </c>
      <c r="C30" s="2">
        <f>2^(-5)</f>
        <v>0.03125</v>
      </c>
      <c r="D30">
        <v>64</v>
      </c>
      <c r="E30" s="2">
        <f>16/256</f>
        <v>0.0625</v>
      </c>
      <c r="F30" s="1"/>
      <c r="G30" s="3" t="e">
        <f t="shared" si="4"/>
        <v>#VALUE!</v>
      </c>
      <c r="H30" t="e">
        <f>G$24/G30</f>
        <v>#VALUE!</v>
      </c>
    </row>
    <row r="31" ht="14.25">
      <c r="A31">
        <v>1024</v>
      </c>
      <c r="B31">
        <v>5</v>
      </c>
      <c r="C31" s="2">
        <f>2^(-5)</f>
        <v>0.03125</v>
      </c>
      <c r="D31">
        <v>128</v>
      </c>
      <c r="E31" s="2">
        <f>16/256</f>
        <v>0.0625</v>
      </c>
      <c r="F31" s="1"/>
      <c r="G31" s="3" t="e">
        <f t="shared" si="4"/>
        <v>#VALUE!</v>
      </c>
      <c r="H31" t="e">
        <f>G$24/G31</f>
        <v>#VALUE!</v>
      </c>
    </row>
    <row r="32" ht="14.25">
      <c r="A32">
        <v>1024</v>
      </c>
      <c r="B32">
        <v>5</v>
      </c>
      <c r="C32" s="2">
        <f>2^(-5)</f>
        <v>0.03125</v>
      </c>
      <c r="D32">
        <v>256</v>
      </c>
      <c r="E32" s="2">
        <f>16/256</f>
        <v>0.0625</v>
      </c>
      <c r="G32" s="3" t="e">
        <f t="shared" si="4"/>
        <v>#VALUE!</v>
      </c>
      <c r="H32" t="e">
        <f>G$24/G32</f>
        <v>#VALUE!</v>
      </c>
    </row>
    <row r="33" ht="14.25">
      <c r="A33">
        <v>1024</v>
      </c>
      <c r="B33" s="4">
        <v>5</v>
      </c>
      <c r="C33" s="2">
        <f>2^(-5)</f>
        <v>0.03125</v>
      </c>
      <c r="D33" s="4">
        <v>512</v>
      </c>
      <c r="E33" s="2">
        <f>16/256</f>
        <v>0.0625</v>
      </c>
      <c r="G33" s="3" t="e">
        <f t="shared" si="4"/>
        <v>#VALUE!</v>
      </c>
      <c r="H33" t="e">
        <f>G$24/G33</f>
        <v>#VALUE!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2025-09-30T15:02:50Z</dcterms:modified>
</cp:coreProperties>
</file>