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harts/colors4.xml" ContentType="application/vnd.ms-office.chartcolorstyle+xml"/>
  <Override PartName="/xl/drawings/drawing1.xml" ContentType="application/vnd.openxmlformats-officedocument.drawing+xml"/>
  <Override PartName="/xl/charts/style4.xml" ContentType="application/vnd.ms-office.chartstyle+xml"/>
  <Override PartName="/docProps/core.xml" ContentType="application/vnd.openxmlformats-package.core-properties+xml"/>
  <Override PartName="/xl/charts/style3.xml" ContentType="application/vnd.ms-office.chart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1.xml" ContentType="application/vnd.openxmlformats-officedocument.theme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3.xml" ContentType="application/vnd.ms-office.chartcolorstyle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charts/chart4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<sst xmlns="http://schemas.openxmlformats.org/spreadsheetml/2006/main" count="30" uniqueCount="30">
  <si>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>Resolution</t>
  </si>
  <si>
    <t>T</t>
  </si>
  <si>
    <t>dt</t>
  </si>
  <si>
    <t>Cores</t>
  </si>
  <si>
    <t>alpha</t>
  </si>
  <si>
    <t>Time</t>
  </si>
  <si>
    <t xml:space="preserve">Time Sec</t>
  </si>
  <si>
    <t>Speedup</t>
  </si>
  <si>
    <t xml:space="preserve">No Data Saved</t>
  </si>
  <si>
    <t>def-bprotas</t>
  </si>
  <si>
    <t xml:space="preserve">full node</t>
  </si>
  <si>
    <t xml:space="preserve">Time Hour</t>
  </si>
  <si>
    <t>Node</t>
  </si>
  <si>
    <t>cores</t>
  </si>
  <si>
    <t>id</t>
  </si>
  <si>
    <t xml:space="preserve">c494: 192</t>
  </si>
  <si>
    <t xml:space="preserve">c299: 192</t>
  </si>
  <si>
    <t xml:space="preserve">c465: 192</t>
  </si>
  <si>
    <t xml:space="preserve">c431: 192</t>
  </si>
  <si>
    <t xml:space="preserve">c420: 192</t>
  </si>
  <si>
    <t xml:space="preserve">c308: 192</t>
  </si>
  <si>
    <t xml:space="preserve">c344: 192</t>
  </si>
  <si>
    <t xml:space="preserve">c343: 192</t>
  </si>
  <si>
    <t xml:space="preserve">c663: 192</t>
  </si>
  <si>
    <t/>
  </si>
  <si>
    <t xml:space="preserve">c692: 192</t>
  </si>
  <si>
    <t xml:space="preserve">c651: 192</t>
  </si>
  <si>
    <t xml:space="preserve">c540: 192</t>
  </si>
  <si>
    <t xml:space="preserve">c360: 192</t>
  </si>
  <si>
    <t xml:space="preserve">c435: 192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</si>
</sst>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5">
    <font>
      <sz val="11.000000"/>
      <color theme="1"/>
      <name val="Calibri"/>
      <scheme val="minor"/>
    </font>
    <font>
      <sz val="11.000000"/>
      <color theme="1"/>
      <name val="Calibri"/>
    </font>
    <font>
      <sz val="12.000000"/>
      <color indexed="64"/>
      <name val="Times New Roman"/>
    </font>
    <font>
      <sz val="11.000000"/>
      <name val="Calibri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0" fillId="0" borderId="0" numFmtId="164" xfId="0" applyNumberFormat="1"/>
    <xf fontId="0" fillId="0" borderId="0" numFmtId="0" xfId="0"/>
    <xf fontId="0" fillId="0" borderId="0" numFmtId="2" xfId="0" applyNumberFormat="1"/>
    <xf fontId="0" fillId="0" borderId="0" numFmtId="0" xfId="0">
      <protection hidden="0" locked="1"/>
    </xf>
    <xf fontId="0" fillId="0" borderId="0" numFmtId="164" xfId="0" applyNumberFormat="1"/>
    <xf fontId="1" fillId="0" borderId="0" numFmtId="0" xfId="0" applyFont="1"/>
    <xf fontId="2" fillId="0" borderId="0" numFmtId="0" xfId="0" applyFont="1" applyAlignment="1">
      <alignment horizontal="left"/>
    </xf>
    <xf fontId="0" fillId="0" borderId="0" numFmtId="0" xfId="0" applyAlignment="1">
      <alignment horizontal="right"/>
    </xf>
    <xf fontId="3" fillId="0" borderId="0" numFmtId="0" xfId="0" applyFont="1" applyAlignment="1">
      <alignment horizontal="right"/>
    </xf>
    <xf fontId="0" fillId="0" borderId="0" numFmtId="11" xfId="0" applyNumberFormat="1"/>
    <xf fontId="4" fillId="0" borderId="0" numFmtId="0" xfId="0" applyFont="1" applyAlignment="1">
      <alignment horizontal="left"/>
    </xf>
    <xf fontId="0" fillId="0" borderId="0" numFmtId="0" xfId="0"/>
    <xf fontId="0" fillId="0" borderId="0" numFmtId="0" xfId="0">
      <protection hidden="0" locked="1"/>
    </xf>
    <xf fontId="0" fillId="0" borderId="0" numFmt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Sheet1!$D$2:$D$9</c:f>
            </c:strRef>
          </c:xVal>
          <c:yVal>
            <c:numRef>
              <c:f>Sheet1!$H$2:$H$9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1479"/>
        <c:axId val="2140841480"/>
      </c:scatterChart>
      <c:valAx>
        <c:axId val="2140841479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80"/>
        <c:crosses val="autoZero"/>
        <c:crossBetween val="between"/>
      </c:valAx>
      <c:valAx>
        <c:axId val="214084148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7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>
      <a:off x="6562723" y="757235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Sheet1!$D$13:$D$20</c:f>
            </c:strRef>
          </c:xVal>
          <c:yVal>
            <c:numRef>
              <c:f>Sheet1!$H$13:$H$20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1491"/>
        <c:axId val="2140841492"/>
      </c:scatterChart>
      <c:valAx>
        <c:axId val="2140841491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92"/>
        <c:crosses val="autoZero"/>
        <c:crossBetween val="between"/>
      </c:valAx>
      <c:valAx>
        <c:axId val="214084149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9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>
      <a:off x="6562722" y="3576635"/>
      <a:ext cx="4552948" cy="290512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Sheet1!$D$44:$D$51</c:f>
            </c:strRef>
          </c:xVal>
          <c:yVal>
            <c:numRef>
              <c:f>Sheet1!$H$44:$H$51</c:f>
            </c:numRef>
          </c:yVal>
        </c:ser>
        <c:axId val="2140841497"/>
        <c:axId val="2140841498"/>
      </c:scatterChart>
      <c:valAx>
        <c:axId val="2140841497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98"/>
        <c:crosses val="autoZero"/>
      </c:valAx>
      <c:valAx>
        <c:axId val="214084149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9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>
      <a:off x="7962899" y="7215187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scatterChart>
        <c:scatterStyle val="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strRef>
              <c:f>Sheet1!$D$54:$D$61</c:f>
            </c:strRef>
          </c:xVal>
          <c:yVal>
            <c:numRef>
              <c:f>Sheet1!$H$54:$H$61</c:f>
            </c:numRef>
          </c:yVal>
        </c:ser>
        <c:axId val="2140841503"/>
        <c:axId val="2140841504"/>
      </c:scatterChart>
      <c:valAx>
        <c:axId val="2140841503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504"/>
        <c:crosses val="autoZero"/>
      </c:valAx>
      <c:valAx>
        <c:axId val="214084150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50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>
      <a:off x="8229599" y="10120312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9</xdr:col>
      <xdr:colOff>466723</xdr:colOff>
      <xdr:row>4</xdr:row>
      <xdr:rowOff>33336</xdr:rowOff>
    </xdr:from>
    <xdr:to>
      <xdr:col>17</xdr:col>
      <xdr:colOff>142872</xdr:colOff>
      <xdr:row>19</xdr:row>
      <xdr:rowOff>42860</xdr:rowOff>
    </xdr:to>
    <xdr:graphicFrame>
      <xdr:nvGraphicFramePr>
        <xdr:cNvPr id="583946" name=""/>
        <xdr:cNvGraphicFramePr>
          <a:graphicFrameLocks xmlns:a="http://schemas.openxmlformats.org/drawingml/2006/main"/>
        </xdr:cNvGraphicFramePr>
      </xdr:nvGraphicFramePr>
      <xdr:xfrm>
        <a:off x="6562723" y="757235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9</xdr:col>
      <xdr:colOff>466722</xdr:colOff>
      <xdr:row>19</xdr:row>
      <xdr:rowOff>138110</xdr:rowOff>
    </xdr:from>
    <xdr:to>
      <xdr:col>17</xdr:col>
      <xdr:colOff>142871</xdr:colOff>
      <xdr:row>35</xdr:row>
      <xdr:rowOff>147636</xdr:rowOff>
    </xdr:to>
    <xdr:graphicFrame>
      <xdr:nvGraphicFramePr>
        <xdr:cNvPr id="493733528" name=""/>
        <xdr:cNvGraphicFramePr>
          <a:graphicFrameLocks xmlns:a="http://schemas.openxmlformats.org/drawingml/2006/main"/>
        </xdr:cNvGraphicFramePr>
      </xdr:nvGraphicFramePr>
      <xdr:xfrm>
        <a:off x="6562722" y="3576635"/>
        <a:ext cx="4552948" cy="29051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11</xdr:col>
      <xdr:colOff>380999</xdr:colOff>
      <xdr:row>39</xdr:row>
      <xdr:rowOff>157162</xdr:rowOff>
    </xdr:from>
    <xdr:to>
      <xdr:col>19</xdr:col>
      <xdr:colOff>57149</xdr:colOff>
      <xdr:row>54</xdr:row>
      <xdr:rowOff>109537</xdr:rowOff>
    </xdr:to>
    <xdr:graphicFrame>
      <xdr:nvGraphicFramePr>
        <xdr:cNvPr id="650898266" name=""/>
        <xdr:cNvGraphicFramePr>
          <a:graphicFrameLocks xmlns:a="http://schemas.openxmlformats.org/drawingml/2006/main"/>
        </xdr:cNvGraphicFramePr>
      </xdr:nvGraphicFramePr>
      <xdr:xfrm>
        <a:off x="7962899" y="7215187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12</xdr:col>
      <xdr:colOff>38099</xdr:colOff>
      <xdr:row>55</xdr:row>
      <xdr:rowOff>100012</xdr:rowOff>
    </xdr:from>
    <xdr:to>
      <xdr:col>19</xdr:col>
      <xdr:colOff>323849</xdr:colOff>
      <xdr:row>70</xdr:row>
      <xdr:rowOff>4762</xdr:rowOff>
    </xdr:to>
    <xdr:graphicFrame>
      <xdr:nvGraphicFramePr>
        <xdr:cNvPr id="336452411" name=""/>
        <xdr:cNvGraphicFramePr>
          <a:graphicFrameLocks xmlns:a="http://schemas.openxmlformats.org/drawingml/2006/main"/>
        </xdr:cNvGraphicFramePr>
      </xdr:nvGraphicFramePr>
      <xdr:xfrm>
        <a:off x="8229599" y="10120312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0" zoomScale="100" workbookViewId="0">
      <selection activeCell="A1" activeCellId="0" sqref="A1"/>
    </sheetView>
  </sheetViews>
  <sheetFormatPr defaultRowHeight="14.25"/>
  <cols>
    <col customWidth="1" min="1" max="1" width="11.140625"/>
    <col customWidth="1" min="6" max="7" style="1" width="12.7109375"/>
    <col customWidth="1" min="9" max="9" width="12.00390625"/>
    <col bestFit="1" min="11" max="11" style="0" width="10.28125"/>
  </cols>
  <sheetData>
    <row r="1" ht="14.25">
      <c r="A1" t="s">
        <v>0</v>
      </c>
      <c r="B1" t="s">
        <v>1</v>
      </c>
      <c r="C1" s="2" t="s">
        <v>2</v>
      </c>
      <c r="D1" t="s">
        <v>3</v>
      </c>
      <c r="E1" s="2" t="s">
        <v>4</v>
      </c>
      <c r="F1" s="1" t="s">
        <v>5</v>
      </c>
      <c r="G1" s="1" t="s">
        <v>6</v>
      </c>
      <c r="H1" t="s">
        <v>7</v>
      </c>
    </row>
    <row r="2" ht="14.25">
      <c r="A2" s="2">
        <v>256</v>
      </c>
      <c r="B2" s="2">
        <v>5</v>
      </c>
      <c r="C2">
        <f>2^-5</f>
        <v>0.03125</v>
      </c>
      <c r="D2" s="2">
        <v>1</v>
      </c>
      <c r="E2">
        <f t="shared" ref="E2:E33" si="0">16/256</f>
        <v>0.0625</v>
      </c>
      <c r="F2" s="1">
        <v>0.015775462962962963</v>
      </c>
      <c r="G2" s="3">
        <f t="shared" ref="G2:G9" si="1">HOUR(F2)*3600+MINUTE(F2)*60+SECOND(F2)</f>
        <v>1363</v>
      </c>
      <c r="H2">
        <f t="shared" ref="H2:H9" si="2">G$2/G2</f>
        <v>1</v>
      </c>
    </row>
    <row r="3" ht="14.25">
      <c r="A3" s="2">
        <v>256</v>
      </c>
      <c r="B3" s="2">
        <v>5</v>
      </c>
      <c r="C3" s="2">
        <f t="shared" ref="C3:C33" si="3">2^(-5)</f>
        <v>0.03125</v>
      </c>
      <c r="D3" s="2">
        <v>2</v>
      </c>
      <c r="E3" s="2">
        <f t="shared" si="0"/>
        <v>0.0625</v>
      </c>
      <c r="F3" s="1">
        <v>0.0094907407407407406</v>
      </c>
      <c r="G3" s="3">
        <f t="shared" si="1"/>
        <v>820</v>
      </c>
      <c r="H3">
        <f t="shared" si="2"/>
        <v>1.6621951219512194</v>
      </c>
    </row>
    <row r="4" ht="14.25">
      <c r="A4" s="4">
        <v>256</v>
      </c>
      <c r="B4" s="4">
        <v>5</v>
      </c>
      <c r="C4" s="2">
        <f t="shared" si="3"/>
        <v>0.03125</v>
      </c>
      <c r="D4" s="2">
        <v>4</v>
      </c>
      <c r="E4" s="2">
        <f t="shared" si="0"/>
        <v>0.0625</v>
      </c>
      <c r="F4" s="1">
        <v>0.0050000000000000001</v>
      </c>
      <c r="G4" s="3">
        <f t="shared" si="1"/>
        <v>432</v>
      </c>
      <c r="H4">
        <f t="shared" si="2"/>
        <v>3.1550925925925926</v>
      </c>
    </row>
    <row r="5" ht="14.25">
      <c r="A5" s="2">
        <v>256</v>
      </c>
      <c r="B5" s="2">
        <v>5</v>
      </c>
      <c r="C5" s="2">
        <f t="shared" si="3"/>
        <v>0.03125</v>
      </c>
      <c r="D5" s="2">
        <v>8</v>
      </c>
      <c r="E5" s="2">
        <f t="shared" si="0"/>
        <v>0.0625</v>
      </c>
      <c r="F5" s="1">
        <v>0.0030439814814814813</v>
      </c>
      <c r="G5" s="3">
        <f t="shared" si="1"/>
        <v>263</v>
      </c>
      <c r="H5">
        <f t="shared" si="2"/>
        <v>5.1825095057034218</v>
      </c>
    </row>
    <row r="6" ht="14.25">
      <c r="A6" s="4">
        <v>256</v>
      </c>
      <c r="B6" s="4">
        <v>5</v>
      </c>
      <c r="C6" s="2">
        <f t="shared" si="3"/>
        <v>0.03125</v>
      </c>
      <c r="D6" s="2">
        <v>16</v>
      </c>
      <c r="E6" s="2">
        <f t="shared" si="0"/>
        <v>0.0625</v>
      </c>
      <c r="F6" s="1">
        <v>0.0022106481481481482</v>
      </c>
      <c r="G6" s="3">
        <f t="shared" si="1"/>
        <v>191</v>
      </c>
      <c r="H6">
        <f t="shared" si="2"/>
        <v>7.1361256544502618</v>
      </c>
    </row>
    <row r="7" ht="14.25">
      <c r="A7" s="2">
        <v>256</v>
      </c>
      <c r="B7" s="2">
        <v>5</v>
      </c>
      <c r="C7" s="2">
        <f t="shared" si="3"/>
        <v>0.03125</v>
      </c>
      <c r="D7" s="2">
        <v>32</v>
      </c>
      <c r="E7" s="2">
        <f t="shared" si="0"/>
        <v>0.0625</v>
      </c>
      <c r="F7" s="1">
        <v>0.0013888888888888889</v>
      </c>
      <c r="G7" s="3">
        <f t="shared" si="1"/>
        <v>120</v>
      </c>
      <c r="H7">
        <f t="shared" si="2"/>
        <v>11.358333333333333</v>
      </c>
    </row>
    <row r="8" ht="14.25">
      <c r="A8" s="4">
        <v>256</v>
      </c>
      <c r="B8" s="4">
        <v>5</v>
      </c>
      <c r="C8" s="2">
        <f t="shared" si="3"/>
        <v>0.03125</v>
      </c>
      <c r="D8" s="2">
        <v>64</v>
      </c>
      <c r="E8" s="2">
        <f t="shared" si="0"/>
        <v>0.0625</v>
      </c>
      <c r="F8" s="1">
        <v>0.00099537037037037042</v>
      </c>
      <c r="G8" s="3">
        <f t="shared" si="1"/>
        <v>86</v>
      </c>
      <c r="H8">
        <f t="shared" si="2"/>
        <v>15.848837209302326</v>
      </c>
    </row>
    <row r="9" ht="14.25">
      <c r="A9" s="2">
        <v>256</v>
      </c>
      <c r="B9" s="2">
        <v>5</v>
      </c>
      <c r="C9" s="2">
        <f t="shared" si="3"/>
        <v>0.03125</v>
      </c>
      <c r="D9" s="2">
        <v>128</v>
      </c>
      <c r="E9" s="2">
        <f t="shared" si="0"/>
        <v>0.0625</v>
      </c>
      <c r="F9" s="1">
        <v>0.00089120370370370373</v>
      </c>
      <c r="G9" s="3">
        <f t="shared" si="1"/>
        <v>77</v>
      </c>
      <c r="H9">
        <f t="shared" si="2"/>
        <v>17.7012987012987</v>
      </c>
    </row>
    <row r="10" ht="14.25">
      <c r="A10" s="2">
        <v>256</v>
      </c>
      <c r="B10" s="2">
        <v>5</v>
      </c>
      <c r="C10" s="2">
        <f t="shared" si="3"/>
        <v>0.03125</v>
      </c>
      <c r="D10" s="2">
        <v>256</v>
      </c>
      <c r="E10" s="2">
        <f t="shared" si="0"/>
        <v>0.0625</v>
      </c>
      <c r="F10" s="1"/>
      <c r="G10" s="3" t="e">
        <f t="shared" ref="G10:G33" si="4">HOUR(F10)*3600+MINUTE(F10)*60+SECOND(F10)</f>
        <v>#VALUE!</v>
      </c>
      <c r="H10" t="e">
        <f t="shared" ref="H10:H11" si="5">G$2/G10</f>
        <v>#VALUE!</v>
      </c>
    </row>
    <row r="11" ht="14.25">
      <c r="A11">
        <v>256</v>
      </c>
      <c r="B11">
        <v>5</v>
      </c>
      <c r="C11" s="2">
        <f t="shared" si="3"/>
        <v>0.03125</v>
      </c>
      <c r="D11">
        <v>512</v>
      </c>
      <c r="E11" s="2">
        <f t="shared" si="0"/>
        <v>0.0625</v>
      </c>
      <c r="G11" s="3" t="e">
        <f t="shared" si="4"/>
        <v>#VALUE!</v>
      </c>
      <c r="H11" t="e">
        <f t="shared" si="5"/>
        <v>#VALUE!</v>
      </c>
    </row>
    <row r="12" ht="14.25">
      <c r="A12" s="2"/>
      <c r="B12" s="2"/>
      <c r="C12" s="2"/>
      <c r="D12" s="2"/>
      <c r="E12" s="2"/>
      <c r="F12" s="1"/>
      <c r="G12" s="3"/>
    </row>
    <row r="13" ht="14.25">
      <c r="A13" s="2">
        <v>512</v>
      </c>
      <c r="B13" s="2">
        <v>5</v>
      </c>
      <c r="C13">
        <f t="shared" si="3"/>
        <v>0.03125</v>
      </c>
      <c r="D13" s="2">
        <v>1</v>
      </c>
      <c r="E13">
        <f t="shared" si="0"/>
        <v>0.0625</v>
      </c>
      <c r="F13" s="1">
        <v>0.13925925925925925</v>
      </c>
      <c r="G13" s="3">
        <f t="shared" si="4"/>
        <v>12032</v>
      </c>
      <c r="H13">
        <f t="shared" ref="H13:H22" si="6">G$13/G13</f>
        <v>1</v>
      </c>
    </row>
    <row r="14" ht="14.25">
      <c r="A14">
        <v>512</v>
      </c>
      <c r="B14">
        <v>5</v>
      </c>
      <c r="C14" s="2">
        <f t="shared" si="3"/>
        <v>0.03125</v>
      </c>
      <c r="D14">
        <v>2</v>
      </c>
      <c r="E14" s="2">
        <f t="shared" si="0"/>
        <v>0.0625</v>
      </c>
      <c r="F14" s="1">
        <v>0.090462962962962967</v>
      </c>
      <c r="G14" s="3">
        <f t="shared" si="4"/>
        <v>7816</v>
      </c>
      <c r="H14">
        <f t="shared" si="6"/>
        <v>1.5394063459570113</v>
      </c>
    </row>
    <row r="15" ht="14.25">
      <c r="A15">
        <v>512</v>
      </c>
      <c r="B15" s="4">
        <v>5</v>
      </c>
      <c r="C15" s="2">
        <f t="shared" si="3"/>
        <v>0.03125</v>
      </c>
      <c r="D15">
        <v>4</v>
      </c>
      <c r="E15" s="2">
        <f t="shared" si="0"/>
        <v>0.0625</v>
      </c>
      <c r="F15" s="1">
        <v>0.051249999999999997</v>
      </c>
      <c r="G15" s="3">
        <f t="shared" si="4"/>
        <v>4428</v>
      </c>
      <c r="H15">
        <f t="shared" si="6"/>
        <v>2.7172538392050587</v>
      </c>
    </row>
    <row r="16" ht="14.25">
      <c r="A16">
        <v>512</v>
      </c>
      <c r="B16">
        <v>5</v>
      </c>
      <c r="C16" s="2">
        <f t="shared" si="3"/>
        <v>0.03125</v>
      </c>
      <c r="D16">
        <v>8</v>
      </c>
      <c r="E16" s="2">
        <f t="shared" si="0"/>
        <v>0.0625</v>
      </c>
      <c r="F16" s="1">
        <v>0.03366898148148148</v>
      </c>
      <c r="G16" s="3">
        <f t="shared" si="4"/>
        <v>2909</v>
      </c>
      <c r="H16">
        <f t="shared" si="6"/>
        <v>4.1361292540391883</v>
      </c>
    </row>
    <row r="17" ht="14.25">
      <c r="A17">
        <v>512</v>
      </c>
      <c r="B17" s="4">
        <v>5</v>
      </c>
      <c r="C17" s="2">
        <f t="shared" si="3"/>
        <v>0.03125</v>
      </c>
      <c r="D17">
        <v>16</v>
      </c>
      <c r="E17" s="2">
        <f t="shared" si="0"/>
        <v>0.0625</v>
      </c>
      <c r="F17" s="1">
        <v>0.019965277777777776</v>
      </c>
      <c r="G17" s="3">
        <f t="shared" si="4"/>
        <v>1725</v>
      </c>
      <c r="H17">
        <f t="shared" si="6"/>
        <v>6.9750724637681163</v>
      </c>
    </row>
    <row r="18" ht="14.25">
      <c r="A18">
        <v>512</v>
      </c>
      <c r="B18">
        <v>5</v>
      </c>
      <c r="C18" s="2">
        <f t="shared" si="3"/>
        <v>0.03125</v>
      </c>
      <c r="D18">
        <v>32</v>
      </c>
      <c r="E18" s="2">
        <f t="shared" si="0"/>
        <v>0.0625</v>
      </c>
      <c r="F18" s="1">
        <v>0.010659722222222221</v>
      </c>
      <c r="G18" s="3">
        <f t="shared" si="4"/>
        <v>921</v>
      </c>
      <c r="H18">
        <f t="shared" si="6"/>
        <v>13.064060803474485</v>
      </c>
    </row>
    <row r="19" ht="14.25">
      <c r="A19">
        <v>512</v>
      </c>
      <c r="B19" s="4">
        <v>5</v>
      </c>
      <c r="C19" s="2">
        <f t="shared" si="3"/>
        <v>0.03125</v>
      </c>
      <c r="D19">
        <v>64</v>
      </c>
      <c r="E19" s="2">
        <f t="shared" si="0"/>
        <v>0.0625</v>
      </c>
      <c r="F19" s="1">
        <v>0.0086689814814814806</v>
      </c>
      <c r="G19" s="3">
        <f t="shared" si="4"/>
        <v>749</v>
      </c>
      <c r="H19">
        <f t="shared" si="6"/>
        <v>16.064085447263018</v>
      </c>
    </row>
    <row r="20" ht="14.25">
      <c r="A20">
        <v>512</v>
      </c>
      <c r="B20">
        <v>5</v>
      </c>
      <c r="C20" s="2">
        <f t="shared" si="3"/>
        <v>0.03125</v>
      </c>
      <c r="D20">
        <v>128</v>
      </c>
      <c r="E20" s="2">
        <f t="shared" si="0"/>
        <v>0.0625</v>
      </c>
      <c r="F20" s="1">
        <v>0.0064583333333333333</v>
      </c>
      <c r="G20" s="3">
        <f t="shared" si="4"/>
        <v>558</v>
      </c>
      <c r="H20">
        <f t="shared" si="6"/>
        <v>21.562724014336919</v>
      </c>
    </row>
    <row r="21" ht="14.25">
      <c r="A21">
        <v>512</v>
      </c>
      <c r="B21">
        <v>5</v>
      </c>
      <c r="C21" s="2">
        <f t="shared" si="3"/>
        <v>0.03125</v>
      </c>
      <c r="D21">
        <v>256</v>
      </c>
      <c r="E21" s="2">
        <f t="shared" si="0"/>
        <v>0.0625</v>
      </c>
      <c r="G21" s="3" t="e">
        <f t="shared" si="4"/>
        <v>#VALUE!</v>
      </c>
      <c r="H21" t="e">
        <f t="shared" si="6"/>
        <v>#VALUE!</v>
      </c>
    </row>
    <row r="22" ht="14.25">
      <c r="A22">
        <v>512</v>
      </c>
      <c r="B22" s="4">
        <v>5</v>
      </c>
      <c r="C22" s="2">
        <f t="shared" si="3"/>
        <v>0.03125</v>
      </c>
      <c r="D22" s="4">
        <v>512</v>
      </c>
      <c r="E22" s="2">
        <f t="shared" si="0"/>
        <v>0.0625</v>
      </c>
      <c r="G22" s="3" t="e">
        <f t="shared" si="4"/>
        <v>#VALUE!</v>
      </c>
      <c r="H22" t="e">
        <f t="shared" si="6"/>
        <v>#VALUE!</v>
      </c>
    </row>
    <row r="23" ht="14.25">
      <c r="B23" s="4"/>
      <c r="C23" s="2"/>
      <c r="D23" s="4"/>
      <c r="E23" s="2"/>
      <c r="G23" s="3"/>
    </row>
    <row r="24" ht="14.25">
      <c r="A24">
        <v>1024</v>
      </c>
      <c r="B24" s="4">
        <v>5</v>
      </c>
      <c r="C24">
        <f t="shared" si="3"/>
        <v>0.03125</v>
      </c>
      <c r="D24" s="4">
        <v>1</v>
      </c>
      <c r="E24">
        <f t="shared" si="0"/>
        <v>0.0625</v>
      </c>
      <c r="G24" s="3" t="e">
        <f t="shared" si="4"/>
        <v>#VALUE!</v>
      </c>
      <c r="H24" t="e">
        <f t="shared" ref="H24:H33" si="7">G$24/G24</f>
        <v>#VALUE!</v>
      </c>
    </row>
    <row r="25" ht="14.25">
      <c r="A25">
        <v>1024</v>
      </c>
      <c r="B25">
        <v>5</v>
      </c>
      <c r="C25" s="2">
        <f t="shared" si="3"/>
        <v>0.03125</v>
      </c>
      <c r="D25">
        <v>2</v>
      </c>
      <c r="E25" s="2">
        <f t="shared" si="0"/>
        <v>0.0625</v>
      </c>
      <c r="G25" s="3" t="e">
        <f t="shared" si="4"/>
        <v>#VALUE!</v>
      </c>
      <c r="H25" t="e">
        <f t="shared" si="7"/>
        <v>#VALUE!</v>
      </c>
    </row>
    <row r="26" ht="14.25">
      <c r="A26">
        <v>1024</v>
      </c>
      <c r="B26" s="4">
        <v>5</v>
      </c>
      <c r="C26" s="2">
        <f t="shared" si="3"/>
        <v>0.03125</v>
      </c>
      <c r="D26">
        <v>4</v>
      </c>
      <c r="E26" s="2">
        <f t="shared" si="0"/>
        <v>0.0625</v>
      </c>
      <c r="G26" s="3" t="e">
        <f t="shared" si="4"/>
        <v>#VALUE!</v>
      </c>
      <c r="H26" t="e">
        <f t="shared" si="7"/>
        <v>#VALUE!</v>
      </c>
    </row>
    <row r="27" ht="14.25">
      <c r="A27">
        <v>1024</v>
      </c>
      <c r="B27">
        <v>5</v>
      </c>
      <c r="C27" s="2">
        <f t="shared" si="3"/>
        <v>0.03125</v>
      </c>
      <c r="D27">
        <v>8</v>
      </c>
      <c r="E27" s="2">
        <f t="shared" si="0"/>
        <v>0.0625</v>
      </c>
      <c r="G27" s="3" t="e">
        <f t="shared" si="4"/>
        <v>#VALUE!</v>
      </c>
      <c r="H27" t="e">
        <f t="shared" si="7"/>
        <v>#VALUE!</v>
      </c>
    </row>
    <row r="28" ht="14.25">
      <c r="A28">
        <v>1024</v>
      </c>
      <c r="B28" s="4">
        <v>5</v>
      </c>
      <c r="C28" s="2">
        <f t="shared" si="3"/>
        <v>0.03125</v>
      </c>
      <c r="D28">
        <v>16</v>
      </c>
      <c r="E28" s="2">
        <f t="shared" si="0"/>
        <v>0.0625</v>
      </c>
      <c r="G28" s="3" t="e">
        <f t="shared" si="4"/>
        <v>#VALUE!</v>
      </c>
      <c r="H28" t="e">
        <f t="shared" si="7"/>
        <v>#VALUE!</v>
      </c>
    </row>
    <row r="29" ht="14.25">
      <c r="A29">
        <v>1024</v>
      </c>
      <c r="B29">
        <v>5</v>
      </c>
      <c r="C29" s="2">
        <f t="shared" si="3"/>
        <v>0.03125</v>
      </c>
      <c r="D29">
        <v>32</v>
      </c>
      <c r="E29" s="2">
        <f t="shared" si="0"/>
        <v>0.0625</v>
      </c>
      <c r="G29" s="3" t="e">
        <f t="shared" si="4"/>
        <v>#VALUE!</v>
      </c>
      <c r="H29" t="e">
        <f t="shared" si="7"/>
        <v>#VALUE!</v>
      </c>
    </row>
    <row r="30" ht="14.25">
      <c r="A30">
        <v>1024</v>
      </c>
      <c r="B30" s="4">
        <v>5</v>
      </c>
      <c r="C30" s="2">
        <f t="shared" si="3"/>
        <v>0.03125</v>
      </c>
      <c r="D30">
        <v>64</v>
      </c>
      <c r="E30" s="2">
        <f t="shared" si="0"/>
        <v>0.0625</v>
      </c>
      <c r="F30" s="1"/>
      <c r="G30" s="3" t="e">
        <f t="shared" si="4"/>
        <v>#VALUE!</v>
      </c>
      <c r="H30" t="e">
        <f t="shared" si="7"/>
        <v>#VALUE!</v>
      </c>
    </row>
    <row r="31" ht="14.25">
      <c r="A31">
        <v>1024</v>
      </c>
      <c r="B31">
        <v>5</v>
      </c>
      <c r="C31" s="2">
        <f t="shared" si="3"/>
        <v>0.03125</v>
      </c>
      <c r="D31">
        <v>128</v>
      </c>
      <c r="E31" s="2">
        <f t="shared" si="0"/>
        <v>0.0625</v>
      </c>
      <c r="F31" s="1"/>
      <c r="G31" s="3" t="e">
        <f t="shared" si="4"/>
        <v>#VALUE!</v>
      </c>
      <c r="H31" t="e">
        <f t="shared" si="7"/>
        <v>#VALUE!</v>
      </c>
    </row>
    <row r="32" ht="14.25">
      <c r="A32">
        <v>1024</v>
      </c>
      <c r="B32">
        <v>5</v>
      </c>
      <c r="C32" s="2">
        <f t="shared" si="3"/>
        <v>0.03125</v>
      </c>
      <c r="D32">
        <v>256</v>
      </c>
      <c r="E32" s="2">
        <f t="shared" si="0"/>
        <v>0.0625</v>
      </c>
      <c r="G32" s="3" t="e">
        <f t="shared" si="4"/>
        <v>#VALUE!</v>
      </c>
      <c r="H32" t="e">
        <f t="shared" si="7"/>
        <v>#VALUE!</v>
      </c>
    </row>
    <row r="33" ht="14.25">
      <c r="A33">
        <v>1024</v>
      </c>
      <c r="B33" s="4">
        <v>5</v>
      </c>
      <c r="C33" s="2">
        <f t="shared" si="3"/>
        <v>0.03125</v>
      </c>
      <c r="D33" s="4">
        <v>512</v>
      </c>
      <c r="E33" s="2">
        <f t="shared" si="0"/>
        <v>0.0625</v>
      </c>
      <c r="G33" s="3" t="e">
        <f t="shared" si="4"/>
        <v>#VALUE!</v>
      </c>
      <c r="H33" t="e">
        <f t="shared" si="7"/>
        <v>#VALUE!</v>
      </c>
      <c r="I33" s="2"/>
    </row>
    <row r="42" ht="14.25">
      <c r="A42" t="s">
        <v>8</v>
      </c>
      <c r="C42" t="s">
        <v>9</v>
      </c>
      <c r="E42" t="s">
        <v>10</v>
      </c>
    </row>
    <row r="43" ht="14.25">
      <c r="A43" s="4" t="s">
        <v>0</v>
      </c>
      <c r="B43" s="4" t="s">
        <v>1</v>
      </c>
      <c r="C43" t="s">
        <v>2</v>
      </c>
      <c r="D43" s="4" t="s">
        <v>3</v>
      </c>
      <c r="E43" t="s">
        <v>4</v>
      </c>
      <c r="F43" s="5" t="s">
        <v>11</v>
      </c>
      <c r="G43" s="1" t="s">
        <v>6</v>
      </c>
      <c r="H43" s="4" t="s">
        <v>7</v>
      </c>
      <c r="I43" t="s">
        <v>12</v>
      </c>
      <c r="J43" t="s">
        <v>13</v>
      </c>
      <c r="K43" s="6" t="s">
        <v>14</v>
      </c>
    </row>
    <row r="44" ht="15">
      <c r="A44">
        <v>256</v>
      </c>
      <c r="B44">
        <v>5</v>
      </c>
      <c r="C44">
        <f t="shared" ref="C44:C51" si="8">2^-5</f>
        <v>0.03125</v>
      </c>
      <c r="D44">
        <f>2^0</f>
        <v>1</v>
      </c>
      <c r="E44">
        <f t="shared" ref="E44:E51" si="9">32/256</f>
        <v>0.125</v>
      </c>
      <c r="F44">
        <v>0.34131958944444402</v>
      </c>
      <c r="G44">
        <f>3600*F44</f>
        <v>1228.7505219999985</v>
      </c>
      <c r="H44">
        <f>G$44/G44</f>
        <v>1</v>
      </c>
      <c r="I44" s="7" t="s">
        <v>15</v>
      </c>
      <c r="J44" s="7">
        <v>1</v>
      </c>
      <c r="K44" s="8">
        <v>2942308</v>
      </c>
    </row>
    <row r="45" ht="15">
      <c r="A45">
        <v>256</v>
      </c>
      <c r="B45">
        <v>5</v>
      </c>
      <c r="C45" s="2">
        <f t="shared" si="8"/>
        <v>0.03125</v>
      </c>
      <c r="D45" s="2">
        <f>2^1</f>
        <v>2</v>
      </c>
      <c r="E45">
        <f t="shared" si="9"/>
        <v>0.125</v>
      </c>
      <c r="F45">
        <v>0.21012079083333299</v>
      </c>
      <c r="G45">
        <f>3600*F45</f>
        <v>756.43484699999874</v>
      </c>
      <c r="H45">
        <f>G$44/G45</f>
        <v>1.6243970341572598</v>
      </c>
      <c r="I45" s="7" t="s">
        <v>16</v>
      </c>
      <c r="J45" s="7">
        <v>1.99</v>
      </c>
      <c r="K45" s="9">
        <v>2942265</v>
      </c>
    </row>
    <row r="46" ht="15">
      <c r="A46">
        <v>256</v>
      </c>
      <c r="B46">
        <v>5</v>
      </c>
      <c r="C46" s="2">
        <f t="shared" si="8"/>
        <v>0.03125</v>
      </c>
      <c r="D46" s="2">
        <f>2^2</f>
        <v>4</v>
      </c>
      <c r="E46">
        <f t="shared" si="9"/>
        <v>0.125</v>
      </c>
      <c r="F46">
        <v>0.10817702</v>
      </c>
      <c r="G46">
        <f>3600*F46</f>
        <v>389.43727200000001</v>
      </c>
      <c r="H46">
        <f>G$44/G46</f>
        <v>3.1551949706549878</v>
      </c>
      <c r="I46" s="7" t="s">
        <v>16</v>
      </c>
      <c r="J46" s="7">
        <v>3.98</v>
      </c>
      <c r="K46" s="9">
        <v>2942232</v>
      </c>
    </row>
    <row r="47" ht="15">
      <c r="A47">
        <v>256</v>
      </c>
      <c r="B47">
        <v>5</v>
      </c>
      <c r="C47" s="2">
        <f t="shared" si="8"/>
        <v>0.03125</v>
      </c>
      <c r="D47" s="2">
        <f>2^3</f>
        <v>8</v>
      </c>
      <c r="E47">
        <f t="shared" si="9"/>
        <v>0.125</v>
      </c>
      <c r="F47" s="10">
        <v>0.061872239722222222</v>
      </c>
      <c r="G47">
        <f>3600*F47</f>
        <v>222.74006299999999</v>
      </c>
      <c r="H47">
        <f>G$44/G47</f>
        <v>5.5165222881345706</v>
      </c>
      <c r="I47" s="7" t="s">
        <v>16</v>
      </c>
      <c r="J47" s="7">
        <v>7.9699999999999998</v>
      </c>
      <c r="K47" s="9">
        <v>2940200</v>
      </c>
    </row>
    <row r="48" ht="15">
      <c r="A48">
        <v>256</v>
      </c>
      <c r="B48">
        <v>5</v>
      </c>
      <c r="C48" s="2">
        <f t="shared" si="8"/>
        <v>0.03125</v>
      </c>
      <c r="D48" s="2">
        <f>2^4</f>
        <v>16</v>
      </c>
      <c r="E48">
        <f t="shared" si="9"/>
        <v>0.125</v>
      </c>
      <c r="F48" s="10">
        <v>0.035382613888888893</v>
      </c>
      <c r="G48">
        <f>3600*F48</f>
        <v>127.37741000000001</v>
      </c>
      <c r="H48">
        <f>G$44/G48</f>
        <v>9.6465340439878489</v>
      </c>
      <c r="I48" s="11"/>
      <c r="J48" s="11"/>
      <c r="K48" s="9">
        <v>2935674</v>
      </c>
    </row>
    <row r="49" ht="15">
      <c r="A49">
        <v>256</v>
      </c>
      <c r="B49">
        <v>5</v>
      </c>
      <c r="C49" s="2">
        <f t="shared" si="8"/>
        <v>0.03125</v>
      </c>
      <c r="D49" s="2">
        <f>2^5</f>
        <v>32</v>
      </c>
      <c r="E49">
        <f t="shared" si="9"/>
        <v>0.125</v>
      </c>
      <c r="F49" s="10">
        <v>0.019179034166666671</v>
      </c>
      <c r="G49">
        <f>3600*F49</f>
        <v>69.044523000000012</v>
      </c>
      <c r="H49">
        <f>G$44/G49</f>
        <v>17.79649519774361</v>
      </c>
      <c r="K49" s="9">
        <v>2935666</v>
      </c>
    </row>
    <row r="50" ht="14.25">
      <c r="A50">
        <v>256</v>
      </c>
      <c r="B50">
        <v>5</v>
      </c>
      <c r="C50" s="2">
        <f t="shared" si="8"/>
        <v>0.03125</v>
      </c>
      <c r="D50" s="2">
        <f>2^6</f>
        <v>64</v>
      </c>
      <c r="E50">
        <f t="shared" si="9"/>
        <v>0.125</v>
      </c>
      <c r="F50" s="10">
        <v>0.0099714886111111102</v>
      </c>
      <c r="G50">
        <f>3600*F50</f>
        <v>35.897358999999994</v>
      </c>
      <c r="H50">
        <f>G$44/G50</f>
        <v>34.229552151733465</v>
      </c>
      <c r="K50" s="8">
        <v>2935412</v>
      </c>
    </row>
    <row r="51" ht="14.25">
      <c r="A51">
        <v>256</v>
      </c>
      <c r="B51">
        <v>5</v>
      </c>
      <c r="C51" s="2">
        <f t="shared" si="8"/>
        <v>0.03125</v>
      </c>
      <c r="D51" s="2">
        <f>2^7</f>
        <v>128</v>
      </c>
      <c r="E51">
        <f t="shared" si="9"/>
        <v>0.125</v>
      </c>
      <c r="F51" s="10">
        <v>0.0079847466666666672</v>
      </c>
      <c r="G51">
        <f>3600*F51</f>
        <v>28.745088000000003</v>
      </c>
      <c r="H51">
        <f>G$44/G51</f>
        <v>42.74645191554113</v>
      </c>
      <c r="K51" s="8">
        <v>2935310</v>
      </c>
    </row>
    <row r="52" ht="14.25">
      <c r="A52" s="12">
        <v>256</v>
      </c>
      <c r="B52" s="12">
        <v>5</v>
      </c>
      <c r="C52">
        <f>2^-5</f>
        <v>0.03125</v>
      </c>
      <c r="D52" s="12">
        <v>256</v>
      </c>
      <c r="E52" s="13">
        <f>32/256</f>
        <v>0.125</v>
      </c>
      <c r="F52" s="10"/>
      <c r="G52" s="12"/>
      <c r="H52" s="12"/>
      <c r="K52" s="8"/>
    </row>
    <row r="53" ht="14.25">
      <c r="C53" s="2"/>
      <c r="F53"/>
      <c r="G53"/>
      <c r="K53" s="8"/>
    </row>
    <row r="54" ht="15">
      <c r="A54" s="4">
        <v>512</v>
      </c>
      <c r="B54" s="4">
        <v>5</v>
      </c>
      <c r="C54">
        <f>2^-5</f>
        <v>0.03125</v>
      </c>
      <c r="D54">
        <f>2^0</f>
        <v>1</v>
      </c>
      <c r="E54" s="4">
        <f>32/256</f>
        <v>0.125</v>
      </c>
      <c r="F54">
        <v>3.05303789083333</v>
      </c>
      <c r="G54">
        <f>3600*F54</f>
        <v>10990.936406999988</v>
      </c>
      <c r="H54">
        <f>G$54/G54</f>
        <v>1</v>
      </c>
      <c r="I54" s="7" t="s">
        <v>17</v>
      </c>
      <c r="J54" s="7">
        <v>1</v>
      </c>
      <c r="K54" s="8">
        <v>2944950</v>
      </c>
    </row>
    <row r="55" ht="15">
      <c r="A55" s="4">
        <v>512</v>
      </c>
      <c r="B55" s="4">
        <v>5</v>
      </c>
      <c r="C55">
        <f>2^-5</f>
        <v>0.03125</v>
      </c>
      <c r="D55">
        <f>2^1</f>
        <v>2</v>
      </c>
      <c r="E55" s="4">
        <f>32/256</f>
        <v>0.125</v>
      </c>
      <c r="F55">
        <v>2.8691363722222198</v>
      </c>
      <c r="G55">
        <f>3600*F55</f>
        <v>10328.890939999992</v>
      </c>
      <c r="H55">
        <f>G$54/G55</f>
        <v>1.0640964718134585</v>
      </c>
      <c r="I55" s="7" t="s">
        <v>18</v>
      </c>
      <c r="J55" s="7">
        <v>1.99</v>
      </c>
      <c r="K55" s="8">
        <v>2944937</v>
      </c>
    </row>
    <row r="56" ht="15">
      <c r="A56" s="4">
        <v>512</v>
      </c>
      <c r="B56" s="4">
        <v>5</v>
      </c>
      <c r="C56">
        <f>2^-5</f>
        <v>0.03125</v>
      </c>
      <c r="D56">
        <f>2^2</f>
        <v>4</v>
      </c>
      <c r="E56" s="4">
        <f>32/256</f>
        <v>0.125</v>
      </c>
      <c r="F56">
        <v>1.0865374888888899</v>
      </c>
      <c r="G56">
        <f>3600*F56</f>
        <v>3911.5349600000036</v>
      </c>
      <c r="H56">
        <f>G$54/G56</f>
        <v>2.8098780962959817</v>
      </c>
      <c r="I56" s="7" t="s">
        <v>19</v>
      </c>
      <c r="J56" s="7">
        <v>3.98</v>
      </c>
      <c r="K56" s="8">
        <v>2919149</v>
      </c>
    </row>
    <row r="57" ht="15">
      <c r="A57" s="4">
        <v>512</v>
      </c>
      <c r="B57" s="4">
        <v>5</v>
      </c>
      <c r="C57">
        <f>2^-5</f>
        <v>0.03125</v>
      </c>
      <c r="D57">
        <f>2^3</f>
        <v>8</v>
      </c>
      <c r="E57" s="4">
        <f>32/256</f>
        <v>0.125</v>
      </c>
      <c r="F57">
        <v>0.52369764194444401</v>
      </c>
      <c r="G57">
        <f>3600*F57</f>
        <v>1885.3115109999985</v>
      </c>
      <c r="H57">
        <f>G$54/G57</f>
        <v>5.8297720789760756</v>
      </c>
      <c r="I57" s="7" t="s">
        <v>20</v>
      </c>
      <c r="J57" s="7">
        <v>7.9699999999999998</v>
      </c>
      <c r="K57" s="8">
        <v>2927478</v>
      </c>
    </row>
    <row r="58" ht="15">
      <c r="A58" s="4">
        <v>512</v>
      </c>
      <c r="B58" s="4">
        <v>5</v>
      </c>
      <c r="C58">
        <f>2^-5</f>
        <v>0.03125</v>
      </c>
      <c r="D58">
        <f>2^4</f>
        <v>16</v>
      </c>
      <c r="E58" s="4">
        <f>32/256</f>
        <v>0.125</v>
      </c>
      <c r="F58">
        <v>0.29082068694444402</v>
      </c>
      <c r="G58">
        <f>3600*F58</f>
        <v>1046.9544729999984</v>
      </c>
      <c r="H58">
        <f>G$54/G58</f>
        <v>10.498007974984796</v>
      </c>
      <c r="I58" s="7" t="s">
        <v>21</v>
      </c>
      <c r="J58" s="7">
        <v>15.94</v>
      </c>
      <c r="K58" s="8">
        <v>2917264</v>
      </c>
    </row>
    <row r="59" ht="15">
      <c r="A59" s="4">
        <v>512</v>
      </c>
      <c r="B59" s="4">
        <v>5</v>
      </c>
      <c r="C59">
        <f>2^-5</f>
        <v>0.03125</v>
      </c>
      <c r="D59">
        <f>2^5</f>
        <v>32</v>
      </c>
      <c r="E59" s="4">
        <f>32/256</f>
        <v>0.125</v>
      </c>
      <c r="F59">
        <v>0.15386960194444399</v>
      </c>
      <c r="G59">
        <f>3600*F59</f>
        <v>553.9305669999984</v>
      </c>
      <c r="H59">
        <f>G$54/G59</f>
        <v>19.841722161182016</v>
      </c>
      <c r="I59" s="7" t="s">
        <v>22</v>
      </c>
      <c r="J59" s="7">
        <v>31.870000000000001</v>
      </c>
      <c r="K59" s="8">
        <v>2917262</v>
      </c>
    </row>
    <row r="60" ht="15">
      <c r="A60" s="4">
        <v>512</v>
      </c>
      <c r="B60" s="4">
        <v>5</v>
      </c>
      <c r="C60">
        <f>2^-5</f>
        <v>0.03125</v>
      </c>
      <c r="D60">
        <f>2^6</f>
        <v>64</v>
      </c>
      <c r="E60" s="4">
        <f>32/256</f>
        <v>0.125</v>
      </c>
      <c r="F60" s="10">
        <v>0.094462038888888877</v>
      </c>
      <c r="G60">
        <f>3600*F60</f>
        <v>340.06333999999998</v>
      </c>
      <c r="H60">
        <f>G$54/G60</f>
        <v>32.320262475220026</v>
      </c>
      <c r="I60" s="7" t="s">
        <v>23</v>
      </c>
      <c r="J60" s="7">
        <v>63.710000000000001</v>
      </c>
      <c r="K60" s="8">
        <v>2915598</v>
      </c>
    </row>
    <row r="61" ht="15">
      <c r="A61" s="4">
        <v>512</v>
      </c>
      <c r="B61" s="4">
        <v>5</v>
      </c>
      <c r="C61">
        <f>2^-5</f>
        <v>0.03125</v>
      </c>
      <c r="D61">
        <f>2^7</f>
        <v>128</v>
      </c>
      <c r="E61" s="4">
        <f>32/256</f>
        <v>0.125</v>
      </c>
      <c r="F61" s="10">
        <v>0.068848739722222219</v>
      </c>
      <c r="G61">
        <f>3600*F61</f>
        <v>247.85546299999999</v>
      </c>
      <c r="H61">
        <f>G$54/G61</f>
        <v>44.344136191180056</v>
      </c>
      <c r="I61" s="7" t="s">
        <v>23</v>
      </c>
      <c r="J61" s="7">
        <v>127.36</v>
      </c>
      <c r="K61" s="8">
        <v>2915566</v>
      </c>
    </row>
    <row r="62" ht="14.25">
      <c r="F62"/>
      <c r="G62"/>
      <c r="K62" s="8"/>
    </row>
    <row r="63" ht="14.25">
      <c r="A63" s="4">
        <v>1024</v>
      </c>
      <c r="B63" s="4">
        <v>5</v>
      </c>
      <c r="C63" s="4">
        <f>2^-5</f>
        <v>0.03125</v>
      </c>
      <c r="D63" s="4">
        <f>2^0</f>
        <v>1</v>
      </c>
      <c r="E63" s="4">
        <f>32/256</f>
        <v>0.125</v>
      </c>
      <c r="F63"/>
      <c r="G63">
        <f>3600*F63</f>
        <v>0</v>
      </c>
      <c r="K63" s="8"/>
    </row>
    <row r="64" ht="14.25">
      <c r="A64" s="4">
        <v>1024</v>
      </c>
      <c r="B64" s="4">
        <v>5</v>
      </c>
      <c r="C64" s="4">
        <f>2^-5</f>
        <v>0.03125</v>
      </c>
      <c r="D64" s="4">
        <f>2^1</f>
        <v>2</v>
      </c>
      <c r="E64" s="4">
        <f>32/256</f>
        <v>0.125</v>
      </c>
      <c r="F64"/>
      <c r="G64">
        <f>3600*F64</f>
        <v>0</v>
      </c>
      <c r="I64" s="14" t="s">
        <v>24</v>
      </c>
      <c r="K64" s="8"/>
    </row>
    <row r="65" ht="14.25">
      <c r="A65" s="4">
        <v>1024</v>
      </c>
      <c r="B65" s="4">
        <v>5</v>
      </c>
      <c r="C65" s="4">
        <f>2^-5</f>
        <v>0.03125</v>
      </c>
      <c r="D65" s="4">
        <f>2^2</f>
        <v>4</v>
      </c>
      <c r="E65" s="4">
        <f>32/256</f>
        <v>0.125</v>
      </c>
      <c r="F65"/>
      <c r="G65">
        <f>3600*F65</f>
        <v>0</v>
      </c>
      <c r="K65" s="8">
        <v>2968238</v>
      </c>
    </row>
    <row r="66" ht="14.25">
      <c r="A66" s="4">
        <v>1024</v>
      </c>
      <c r="B66" s="4">
        <v>5</v>
      </c>
      <c r="C66" s="4">
        <f>2^-5</f>
        <v>0.03125</v>
      </c>
      <c r="D66" s="4">
        <f>2^3</f>
        <v>8</v>
      </c>
      <c r="E66" s="4">
        <f>32/256</f>
        <v>0.125</v>
      </c>
      <c r="F66">
        <v>5.01026725944444</v>
      </c>
      <c r="G66">
        <f>3600*F66</f>
        <v>18036.962133999983</v>
      </c>
      <c r="I66" s="7" t="s">
        <v>25</v>
      </c>
      <c r="J66" s="7">
        <v>7.9699999999999998</v>
      </c>
      <c r="K66" s="8">
        <v>2887572</v>
      </c>
    </row>
    <row r="67" ht="14.25">
      <c r="A67" s="4">
        <v>1024</v>
      </c>
      <c r="B67" s="4">
        <v>5</v>
      </c>
      <c r="C67" s="4">
        <f>2^-5</f>
        <v>0.03125</v>
      </c>
      <c r="D67" s="4">
        <f>2^4</f>
        <v>16</v>
      </c>
      <c r="E67" s="4">
        <f>32/256</f>
        <v>0.125</v>
      </c>
      <c r="F67">
        <v>3.2392529866666702</v>
      </c>
      <c r="G67">
        <f>3600*F67</f>
        <v>11661.310752000012</v>
      </c>
      <c r="I67" s="7" t="s">
        <v>26</v>
      </c>
      <c r="J67" s="7">
        <v>15.94</v>
      </c>
      <c r="K67" s="8">
        <v>2887528</v>
      </c>
    </row>
    <row r="68" ht="14.25">
      <c r="A68" s="4">
        <v>1024</v>
      </c>
      <c r="B68" s="4">
        <v>5</v>
      </c>
      <c r="C68" s="4">
        <f>2^-5</f>
        <v>0.03125</v>
      </c>
      <c r="D68" s="4">
        <f>2^5</f>
        <v>32</v>
      </c>
      <c r="E68" s="4">
        <f>32/256</f>
        <v>0.125</v>
      </c>
      <c r="F68">
        <v>1.39384133694444</v>
      </c>
      <c r="G68">
        <f>3600*F68</f>
        <v>5017.8288129999837</v>
      </c>
      <c r="I68" s="7" t="s">
        <v>27</v>
      </c>
      <c r="J68" s="7">
        <v>31.870000000000001</v>
      </c>
      <c r="K68" s="8">
        <v>2863616</v>
      </c>
    </row>
    <row r="69" ht="14.25">
      <c r="A69" s="4">
        <v>1024</v>
      </c>
      <c r="B69" s="4">
        <v>5</v>
      </c>
      <c r="C69" s="4">
        <f>2^-5</f>
        <v>0.03125</v>
      </c>
      <c r="D69" s="4">
        <f>2^6</f>
        <v>64</v>
      </c>
      <c r="E69" s="4">
        <f>32/256</f>
        <v>0.125</v>
      </c>
      <c r="F69">
        <v>0.88665442194444399</v>
      </c>
      <c r="G69">
        <f>3600*F69</f>
        <v>3191.9559189999982</v>
      </c>
      <c r="I69" s="7" t="s">
        <v>28</v>
      </c>
      <c r="J69" s="7">
        <v>63.710000000000001</v>
      </c>
      <c r="K69" s="8">
        <v>2862265</v>
      </c>
    </row>
    <row r="70" ht="14.25">
      <c r="A70" s="4">
        <v>1024</v>
      </c>
      <c r="B70" s="4">
        <v>5</v>
      </c>
      <c r="C70" s="4">
        <f>2^-5</f>
        <v>0.03125</v>
      </c>
      <c r="D70" s="4">
        <f>2^7</f>
        <v>128</v>
      </c>
      <c r="E70" s="4">
        <f>32/256</f>
        <v>0.125</v>
      </c>
      <c r="F70">
        <v>0.63989486638888904</v>
      </c>
      <c r="G70">
        <f>3600*F70</f>
        <v>2303.6215190000007</v>
      </c>
      <c r="I70" s="7" t="s">
        <v>29</v>
      </c>
      <c r="J70" s="7">
        <v>127.31</v>
      </c>
      <c r="K70" s="8">
        <v>2859759</v>
      </c>
    </row>
    <row r="72" ht="14.25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10</cp:revision>
  <dcterms:modified xsi:type="dcterms:W3CDTF">2025-10-17T16:57:39Z</dcterms:modified>
</cp:coreProperties>
</file>