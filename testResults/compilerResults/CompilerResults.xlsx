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<sst xmlns="http://schemas.openxmlformats.org/spreadsheetml/2006/main" count="20" uniqueCount="20">
  <si>
    <t>Settings</t>
  </si>
  <si>
    <t xml:space="preserve">Time (hr)</t>
  </si>
  <si>
    <t xml:space="preserve">Time Sec</t>
  </si>
  <si>
    <t>Speedup</t>
  </si>
  <si>
    <t>core</t>
  </si>
  <si>
    <t>resol</t>
  </si>
  <si>
    <t>alpha</t>
  </si>
  <si>
    <t>T</t>
  </si>
  <si>
    <t>dt</t>
  </si>
  <si>
    <t xml:space="preserve">"-fopenmp -O3 -pg"</t>
  </si>
  <si>
    <t>32/256</t>
  </si>
  <si>
    <t>2^-5</t>
  </si>
  <si>
    <t xml:space="preserve">"-fopenmp -O3"</t>
  </si>
  <si>
    <t xml:space="preserve">"-fopenmp -Ofast"</t>
  </si>
  <si>
    <t xml:space="preserve">"-fopenmp -O3 -march=native"</t>
  </si>
  <si>
    <t>"-O3"</t>
  </si>
  <si>
    <t xml:space="preserve">"-O3 -funroll-loops"</t>
  </si>
  <si>
    <t>"-Ofast"</t>
  </si>
  <si>
    <t xml:space="preserve">"-O3 -march=native"</t>
  </si>
  <si>
    <t xml:space="preserve">"-O3 -pg"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</si>
</sst>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h:mm:ss;@"/>
  </numFmts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/>
    <xf fontId="0" fillId="0" borderId="0" numFmtId="2" xfId="0" applyNumberFormat="1"/>
    <xf fontId="0" fillId="0" borderId="0" numFmtId="0" xfId="0"/>
    <xf fontId="0" fillId="0" borderId="0" numFmtId="0" xfId="0">
      <protection hidden="0" locked="1"/>
    </xf>
    <xf fontId="0" fillId="0" borderId="0" numFmtId="164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32.28125"/>
    <col bestFit="1" min="2" max="2" style="1" width="11.28125"/>
  </cols>
  <sheetData>
    <row r="1" ht="14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ht="14.25">
      <c r="A2" s="4" t="s">
        <v>9</v>
      </c>
      <c r="B2" s="1">
        <v>0.45000000000000001</v>
      </c>
      <c r="C2" s="2">
        <f t="shared" ref="C2:C9" si="0">B2*3600</f>
        <v>1620</v>
      </c>
      <c r="D2">
        <f t="shared" ref="D2:D7" si="1">C$2/C2</f>
        <v>1</v>
      </c>
      <c r="E2">
        <v>128</v>
      </c>
      <c r="F2">
        <v>512</v>
      </c>
      <c r="G2" t="s">
        <v>10</v>
      </c>
      <c r="H2">
        <v>5</v>
      </c>
      <c r="I2" t="s">
        <v>11</v>
      </c>
    </row>
    <row r="3" ht="14.25">
      <c r="A3" t="s">
        <v>12</v>
      </c>
      <c r="B3" s="1">
        <f>(0.2913515875+0.246882429722222)/2</f>
        <v>0.26911700861111099</v>
      </c>
      <c r="C3" s="2">
        <f t="shared" si="0"/>
        <v>968.82123099999956</v>
      </c>
      <c r="D3">
        <f t="shared" si="1"/>
        <v>1.6721351144708767</v>
      </c>
      <c r="E3">
        <v>128</v>
      </c>
      <c r="F3">
        <v>512</v>
      </c>
      <c r="G3" s="2" t="s">
        <v>10</v>
      </c>
      <c r="H3">
        <v>5</v>
      </c>
      <c r="I3" s="2" t="s">
        <v>11</v>
      </c>
    </row>
    <row r="4" ht="14.25">
      <c r="A4" t="s">
        <v>13</v>
      </c>
      <c r="B4" s="1">
        <v>1.4199999999999999</v>
      </c>
      <c r="C4" s="2">
        <f t="shared" si="0"/>
        <v>5112</v>
      </c>
      <c r="D4">
        <f t="shared" si="1"/>
        <v>0.31690140845070425</v>
      </c>
      <c r="E4">
        <v>128</v>
      </c>
      <c r="F4">
        <v>512</v>
      </c>
      <c r="G4" s="2" t="s">
        <v>10</v>
      </c>
      <c r="H4">
        <v>5</v>
      </c>
      <c r="I4" s="2" t="s">
        <v>11</v>
      </c>
    </row>
    <row r="5" ht="14.25">
      <c r="A5" t="s">
        <v>14</v>
      </c>
      <c r="B5" s="1">
        <v>0.27265931444444402</v>
      </c>
      <c r="C5" s="2">
        <f t="shared" si="0"/>
        <v>981.57353199999852</v>
      </c>
      <c r="D5">
        <f t="shared" si="1"/>
        <v>1.6504112500865624</v>
      </c>
      <c r="E5">
        <v>128</v>
      </c>
      <c r="F5">
        <v>512</v>
      </c>
      <c r="G5" s="2" t="s">
        <v>10</v>
      </c>
      <c r="H5">
        <v>5</v>
      </c>
      <c r="I5" s="2" t="s">
        <v>11</v>
      </c>
    </row>
    <row r="6" ht="14.25">
      <c r="A6" t="s">
        <v>15</v>
      </c>
      <c r="B6" s="1">
        <v>0.26382738972222203</v>
      </c>
      <c r="C6" s="2">
        <f t="shared" si="0"/>
        <v>949.77860299999929</v>
      </c>
      <c r="D6">
        <f t="shared" si="1"/>
        <v>1.7056606612141179</v>
      </c>
      <c r="E6">
        <v>128</v>
      </c>
      <c r="F6">
        <v>512</v>
      </c>
      <c r="G6" s="2" t="s">
        <v>10</v>
      </c>
      <c r="H6">
        <v>5</v>
      </c>
      <c r="I6" s="2" t="s">
        <v>11</v>
      </c>
    </row>
    <row r="7" ht="14.25">
      <c r="A7" t="s">
        <v>16</v>
      </c>
      <c r="B7" s="1">
        <v>0.290683926944444</v>
      </c>
      <c r="C7" s="2">
        <f t="shared" si="0"/>
        <v>1046.4621369999984</v>
      </c>
      <c r="D7">
        <f t="shared" si="1"/>
        <v>1.5480732104118187</v>
      </c>
      <c r="E7">
        <v>128</v>
      </c>
      <c r="F7">
        <v>512</v>
      </c>
      <c r="G7" s="2" t="s">
        <v>10</v>
      </c>
      <c r="H7">
        <v>5</v>
      </c>
      <c r="I7" s="2" t="s">
        <v>11</v>
      </c>
    </row>
    <row r="8" ht="14.25">
      <c r="A8" s="4"/>
      <c r="B8" s="1"/>
      <c r="C8" s="2"/>
      <c r="E8" s="3"/>
      <c r="F8" s="3"/>
      <c r="H8" s="3"/>
    </row>
    <row r="9" ht="14.25">
      <c r="A9" s="4" t="s">
        <v>9</v>
      </c>
      <c r="B9" s="1">
        <f>(1.23042868916667+1.3707738525)/2</f>
        <v>1.300601270833335</v>
      </c>
      <c r="C9" s="2">
        <f t="shared" si="0"/>
        <v>4682.1645750000062</v>
      </c>
      <c r="D9" s="3">
        <f>C$9/C9</f>
        <v>1</v>
      </c>
      <c r="E9" s="3">
        <v>128</v>
      </c>
      <c r="F9" s="3">
        <v>512</v>
      </c>
      <c r="G9" t="s">
        <v>10</v>
      </c>
      <c r="H9" s="3">
        <v>25</v>
      </c>
      <c r="I9" t="s">
        <v>11</v>
      </c>
    </row>
    <row r="10" ht="14.25">
      <c r="A10" t="s">
        <v>12</v>
      </c>
      <c r="B10" s="1">
        <f>(1.42444136055556+1.41068360194444)/2</f>
        <v>1.4175624812500001</v>
      </c>
      <c r="C10" s="2">
        <f t="shared" ref="C10:C14" si="2">B10*3600</f>
        <v>5103.2249325000003</v>
      </c>
      <c r="D10" s="3">
        <f t="shared" ref="D10:D14" si="3">C$9/C10</f>
        <v>0.91749131910324744</v>
      </c>
      <c r="E10" s="3">
        <v>128</v>
      </c>
      <c r="F10" s="3">
        <v>512</v>
      </c>
      <c r="G10" t="s">
        <v>10</v>
      </c>
      <c r="H10" s="3">
        <v>25</v>
      </c>
      <c r="I10" t="s">
        <v>11</v>
      </c>
    </row>
    <row r="11" ht="14.25">
      <c r="A11" s="2" t="s">
        <v>17</v>
      </c>
      <c r="B11" s="1">
        <v>2.5</v>
      </c>
      <c r="C11" s="2">
        <f t="shared" si="2"/>
        <v>9000</v>
      </c>
      <c r="D11" s="3">
        <f t="shared" si="3"/>
        <v>0.52024050833333402</v>
      </c>
      <c r="E11" s="3">
        <v>128</v>
      </c>
      <c r="F11" s="3">
        <v>512</v>
      </c>
      <c r="G11" t="s">
        <v>10</v>
      </c>
      <c r="H11" s="3">
        <v>25</v>
      </c>
      <c r="I11" t="s">
        <v>11</v>
      </c>
    </row>
    <row r="12" ht="14.25">
      <c r="A12" s="2" t="s">
        <v>18</v>
      </c>
      <c r="B12" s="1">
        <v>2.1000000000000001</v>
      </c>
      <c r="C12" s="2">
        <f t="shared" si="2"/>
        <v>7560</v>
      </c>
      <c r="D12" s="3">
        <f t="shared" si="3"/>
        <v>0.61933393849206431</v>
      </c>
      <c r="E12" s="3">
        <v>128</v>
      </c>
      <c r="F12" s="3">
        <v>512</v>
      </c>
      <c r="G12" t="s">
        <v>10</v>
      </c>
      <c r="H12" s="3">
        <v>25</v>
      </c>
      <c r="I12" t="s">
        <v>11</v>
      </c>
    </row>
    <row r="13" ht="14.25">
      <c r="A13" t="s">
        <v>15</v>
      </c>
      <c r="B13" s="1">
        <v>1.35038762777778</v>
      </c>
      <c r="C13" s="2">
        <f t="shared" si="2"/>
        <v>4861.3954600000079</v>
      </c>
      <c r="D13" s="3">
        <f t="shared" si="3"/>
        <v>0.96313180310576885</v>
      </c>
      <c r="E13" s="3">
        <v>128</v>
      </c>
      <c r="F13" s="3">
        <v>512</v>
      </c>
      <c r="G13" t="s">
        <v>10</v>
      </c>
      <c r="H13" s="3">
        <v>25</v>
      </c>
      <c r="I13" t="s">
        <v>11</v>
      </c>
    </row>
    <row r="14" ht="14.25">
      <c r="A14" t="s">
        <v>16</v>
      </c>
      <c r="B14" s="1">
        <v>1.42375673222222</v>
      </c>
      <c r="C14">
        <f t="shared" si="2"/>
        <v>5125.524235999992</v>
      </c>
      <c r="D14" s="3">
        <f t="shared" si="3"/>
        <v>0.91349964597065525</v>
      </c>
      <c r="E14" s="3">
        <v>128</v>
      </c>
      <c r="F14" s="3">
        <v>512</v>
      </c>
      <c r="G14" t="s">
        <v>10</v>
      </c>
      <c r="H14" s="3">
        <v>25</v>
      </c>
      <c r="I14" t="s">
        <v>11</v>
      </c>
    </row>
    <row r="15" ht="14.25">
      <c r="A15" t="s">
        <v>19</v>
      </c>
      <c r="B15" s="1">
        <v>5</v>
      </c>
      <c r="C15">
        <f>B15*3600</f>
        <v>18000</v>
      </c>
      <c r="D15" s="3">
        <f>C$9/C15</f>
        <v>0.26012025416666701</v>
      </c>
      <c r="E15" s="3">
        <v>128</v>
      </c>
      <c r="F15" s="3">
        <v>512</v>
      </c>
      <c r="G15" s="3" t="s">
        <v>10</v>
      </c>
      <c r="H15" s="3">
        <v>25</v>
      </c>
      <c r="I15" s="3" t="s">
        <v>11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2025-10-10T12:59:55Z</dcterms:modified>
</cp:coreProperties>
</file>