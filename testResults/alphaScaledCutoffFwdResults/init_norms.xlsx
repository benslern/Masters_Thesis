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<sst xmlns="http://schemas.openxmlformats.org/spreadsheetml/2006/main" count="5" uniqueCount="5">
  <si>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alpha</t>
  </si>
  <si>
    <t>norm</t>
  </si>
  <si>
    <t>norm2</t>
  </si>
  <si>
    <t>L</t>
  </si>
  <si>
    <t>V_0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</si>
</sst>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5" max="5" width="28.28125"/>
  </cols>
  <sheetData>
    <row r="2" ht="14.25">
      <c r="B2" t="s">
        <v>0</v>
      </c>
      <c r="C2" t="s">
        <v>1</v>
      </c>
      <c r="D2" t="s">
        <v>2</v>
      </c>
      <c r="F2" t="s">
        <v>3</v>
      </c>
      <c r="G2" t="s">
        <v>4</v>
      </c>
    </row>
    <row r="3" ht="14.25">
      <c r="B3">
        <f>1/1024</f>
        <v>0.0009765625</v>
      </c>
      <c r="C3">
        <f>3/(2*SQRT(36*PI()^2*B3^2+3))</f>
        <v>0.86597649972322888</v>
      </c>
      <c r="D3">
        <f>G$3/SQRT((F$3^3)+(12*F$3*(PI()^2)*(B3^2)))</f>
        <v>0.86597649972322877</v>
      </c>
      <c r="F3">
        <v>1</v>
      </c>
      <c r="G3">
        <f>SQRT(3)/2</f>
        <v>0.8660254037844386</v>
      </c>
    </row>
    <row r="4" ht="14.25">
      <c r="B4">
        <f>2/1024</f>
        <v>0.001953125</v>
      </c>
      <c r="C4">
        <f>3/(2*SQRT(36*PI()^2*B4^2+3))</f>
        <v>0.86582983723325568</v>
      </c>
      <c r="D4" s="1">
        <f>G$3/SQRT((F$3^3)+(12*F$3*(PI()^2)*(B4^2)))</f>
        <v>0.86582983723325568</v>
      </c>
    </row>
    <row r="5" ht="14.25">
      <c r="B5">
        <f>4/1024</f>
        <v>0.00390625</v>
      </c>
      <c r="C5">
        <f>3/(2*SQRT(36*PI()^2*B5^2+3))</f>
        <v>0.86524393155743828</v>
      </c>
      <c r="D5" s="1">
        <f>G$3/SQRT((F$3^3)+(12*F$3*(PI()^2)*(B5^2)))</f>
        <v>0.86524393155743817</v>
      </c>
    </row>
    <row r="6" ht="14.25">
      <c r="B6">
        <f>8/1024</f>
        <v>0.0078125</v>
      </c>
      <c r="C6">
        <f>3/(2*SQRT(36*PI()^2*B6^2+3))</f>
        <v>0.86291214723469545</v>
      </c>
      <c r="D6" s="1">
        <f>G$3/SQRT((F$3^3)+(12*F$3*(PI()^2)*(B6^2)))</f>
        <v>0.86291214723469545</v>
      </c>
    </row>
    <row r="7" ht="14.25">
      <c r="B7">
        <f>12/1024</f>
        <v>0.01171875</v>
      </c>
      <c r="C7">
        <f>3/(2*SQRT(36*PI()^2*B7^2+3))</f>
        <v>0.85906738538235616</v>
      </c>
      <c r="D7" s="1">
        <f>G$3/SQRT((F$3^3)+(12*F$3*(PI()^2)*(B7^2)))</f>
        <v>0.85906738538235616</v>
      </c>
    </row>
    <row r="8" ht="14.25">
      <c r="B8">
        <f>16/1024</f>
        <v>0.015625</v>
      </c>
      <c r="C8">
        <f>3/(2*SQRT(36*PI()^2*B8^2+3))</f>
        <v>0.85377004376689813</v>
      </c>
      <c r="D8" s="1">
        <f>G$3/SQRT((F$3^3)+(12*F$3*(PI()^2)*(B8^2)))</f>
        <v>0.85377004376689802</v>
      </c>
    </row>
    <row r="9" ht="14.25">
      <c r="B9">
        <f>20/1024</f>
        <v>0.01953125</v>
      </c>
      <c r="C9">
        <f>3/(2*SQRT(36*PI()^2*B9^2+3))</f>
        <v>0.84710100658968102</v>
      </c>
      <c r="D9" s="1">
        <f>G$3/SQRT((F$3^3)+(12*F$3*(PI()^2)*(B9^2)))</f>
        <v>0.84710100658968102</v>
      </c>
    </row>
    <row r="10" ht="14.25">
      <c r="B10">
        <f>24/1024</f>
        <v>0.0234375</v>
      </c>
      <c r="C10">
        <f>3/(2*SQRT(36*PI()^2*B10^2+3))</f>
        <v>0.83915833988902899</v>
      </c>
      <c r="D10" s="1">
        <f>G$3/SQRT((F$3^3)+(12*F$3*(PI()^2)*(B10^2)))</f>
        <v>0.83915833988902888</v>
      </c>
    </row>
    <row r="11" ht="14.25">
      <c r="B11">
        <f>28/1024</f>
        <v>0.02734375</v>
      </c>
      <c r="C11">
        <f>3/(2*SQRT(36*PI()^2*B11^2+3))</f>
        <v>0.83005351277251216</v>
      </c>
      <c r="D11" s="1">
        <f>G$3/SQRT((F$3^3)+(12*F$3*(PI()^2)*(B11^2)))</f>
        <v>0.83005351277251227</v>
      </c>
    </row>
    <row r="12" ht="14.25">
      <c r="B12">
        <f>32/1024</f>
        <v>0.03125</v>
      </c>
      <c r="C12">
        <f>3/(2*SQRT(36*PI()^2*B12^2+3))</f>
        <v>0.81990741120946631</v>
      </c>
      <c r="D12" s="1">
        <f>G$3/SQRT((F$3^3)+(12*F$3*(PI()^2)*(B12^2)))</f>
        <v>0.81990741120946631</v>
      </c>
    </row>
    <row r="13" ht="14.25">
      <c r="B13">
        <f>36/1024</f>
        <v>0.03515625</v>
      </c>
      <c r="C13">
        <f>3/(2*SQRT(36*PI()^2*B13^2+3))</f>
        <v>0.80884639552614845</v>
      </c>
      <c r="D13" s="1">
        <f>G$3/SQRT((F$3^3)+(12*F$3*(PI()^2)*(B13^2)))</f>
        <v>0.80884639552614845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2026-04-09T20:15:44Z</dcterms:modified>
</cp:coreProperties>
</file>