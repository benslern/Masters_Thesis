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<sst xmlns="http://schemas.openxmlformats.org/spreadsheetml/2006/main" count="42" uniqueCount="42">
  <si>
    <t xml:space="preserve">Max Stability Time</t>
  </si>
  <si>
    <t>Resolution</t>
  </si>
  <si>
    <t>T</t>
  </si>
  <si>
    <t xml:space="preserve">Relative Error Phi</t>
  </si>
  <si>
    <t>DT</t>
  </si>
  <si>
    <t>2^-8</t>
  </si>
  <si>
    <t xml:space="preserve">Max Resolved Time</t>
  </si>
  <si>
    <t xml:space="preserve">Relative Error E_alpha</t>
  </si>
  <si>
    <t>Resol</t>
  </si>
  <si>
    <t>Alpha</t>
  </si>
  <si>
    <t>1/1024</t>
  </si>
  <si>
    <t>2/1024</t>
  </si>
  <si>
    <t>4/1024</t>
  </si>
  <si>
    <t>8/1024</t>
  </si>
  <si>
    <t>12/1024</t>
  </si>
  <si>
    <t>16/1024</t>
  </si>
  <si>
    <t>24/1024</t>
  </si>
  <si>
    <t>32/1024</t>
  </si>
  <si>
    <t>48/1024</t>
  </si>
  <si>
    <t>64/1024</t>
  </si>
  <si>
    <t>unresolved</t>
  </si>
  <si>
    <t>2^-2</t>
  </si>
  <si>
    <t>Inf</t>
  </si>
  <si>
    <t>unstable</t>
  </si>
  <si>
    <t>resolved</t>
  </si>
  <si>
    <t>2^-3</t>
  </si>
  <si>
    <t>~1E-1</t>
  </si>
  <si>
    <t>~1E-3</t>
  </si>
  <si>
    <t>2^-4</t>
  </si>
  <si>
    <t>~1E-2</t>
  </si>
  <si>
    <t>~1E-4</t>
  </si>
  <si>
    <t>2^-5</t>
  </si>
  <si>
    <t>stable</t>
  </si>
  <si>
    <t>~1E-5</t>
  </si>
  <si>
    <t>2^-6</t>
  </si>
  <si>
    <t>~1E-6</t>
  </si>
  <si>
    <t>2^-7</t>
  </si>
  <si>
    <t>~1E-(5-9)</t>
  </si>
  <si>
    <t>~1E-(7-9)</t>
  </si>
  <si>
    <t>&lt;1E-10</t>
  </si>
  <si>
    <t>&lt;1E-9</t>
  </si>
  <si>
    <t xml:space="preserve">Relative Error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</si>
</sst>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FA5252"/>
        <bgColor rgb="FFFA525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rgb="FFA479D1"/>
        <bgColor rgb="FFA479D1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6" tint="0.39997558519241921"/>
        <bgColor theme="6" tint="0.39997558519241921"/>
      </patternFill>
    </fill>
    <fill>
      <patternFill patternType="solid">
        <fgColor theme="5" tint="-0.249977111117893"/>
        <bgColor theme="5" tint="-0.249977111117893"/>
      </patternFill>
    </fill>
    <fill>
      <patternFill patternType="solid">
        <fgColor theme="0" tint="0"/>
        <bgColor theme="0" tint="0"/>
      </patternFill>
    </fill>
    <fill>
      <patternFill patternType="solid">
        <fgColor theme="1" tint="0.049989318521683403"/>
        <bgColor theme="1" tint="0.049989318521683403"/>
      </patternFill>
    </fill>
  </fills>
  <borders count="30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thin">
        <color auto="1"/>
      </left>
      <right style="thin">
        <color theme="1"/>
      </right>
      <top style="thin">
        <color theme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thin">
        <color theme="1"/>
      </left>
      <right style="thin">
        <color auto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thin">
        <color theme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auto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theme="1"/>
      </top>
      <bottom style="thin">
        <color auto="1"/>
      </bottom>
      <diagonal style="none"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auto="1"/>
      </bottom>
      <diagonal style="none"/>
    </border>
    <border>
      <left style="thin">
        <color theme="1"/>
      </left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75">
    <xf fontId="0" fillId="0" borderId="0" numFmtId="0" xfId="0"/>
    <xf fontId="0" fillId="2" borderId="1" numFmtId="0" xfId="0" applyFill="1" applyBorder="1"/>
    <xf fontId="0" fillId="0" borderId="1" numFmtId="0" xfId="0" applyBorder="1"/>
    <xf fontId="0" fillId="0" borderId="0" numFmtId="0" xfId="0"/>
    <xf fontId="0" fillId="0" borderId="0" numFmtId="0" xfId="0">
      <protection hidden="0" locked="1"/>
    </xf>
    <xf fontId="0" fillId="0" borderId="2" numFmtId="0" xfId="0" applyBorder="1">
      <protection hidden="0" locked="1"/>
    </xf>
    <xf fontId="0" fillId="0" borderId="3" numFmtId="0" xfId="0" applyBorder="1">
      <protection hidden="0" locked="1"/>
    </xf>
    <xf fontId="0" fillId="0" borderId="3" numFmtId="0" xfId="0" applyBorder="1"/>
    <xf fontId="0" fillId="2" borderId="4" numFmtId="0" xfId="0" applyFill="1" applyBorder="1"/>
    <xf fontId="0" fillId="3" borderId="1" numFmtId="0" xfId="0" applyFill="1" applyBorder="1"/>
    <xf fontId="0" fillId="0" borderId="5" numFmtId="0" xfId="0" applyBorder="1"/>
    <xf fontId="0" fillId="2" borderId="6" numFmtId="0" xfId="0" applyFill="1" applyBorder="1"/>
    <xf fontId="0" fillId="3" borderId="7" numFmtId="0" xfId="0" applyFill="1" applyBorder="1"/>
    <xf fontId="0" fillId="3" borderId="8" numFmtId="0" xfId="0" applyFill="1" applyBorder="1"/>
    <xf fontId="0" fillId="3" borderId="9" numFmtId="0" xfId="0" applyFill="1" applyBorder="1"/>
    <xf fontId="0" fillId="4" borderId="1" numFmtId="0" xfId="0" applyFill="1" applyBorder="1"/>
    <xf fontId="0" fillId="5" borderId="1" numFmtId="0" xfId="0" applyFill="1" applyBorder="1"/>
    <xf fontId="0" fillId="6" borderId="1" numFmtId="11" xfId="0" applyNumberFormat="1" applyFill="1" applyBorder="1"/>
    <xf fontId="0" fillId="7" borderId="1" numFmtId="11" xfId="0" applyNumberFormat="1" applyFill="1" applyBorder="1"/>
    <xf fontId="0" fillId="0" borderId="10" numFmtId="0" xfId="0" applyBorder="1"/>
    <xf fontId="0" fillId="0" borderId="2" numFmtId="0" xfId="0" applyBorder="1"/>
    <xf fontId="0" fillId="3" borderId="1" numFmtId="0" xfId="0" applyFill="1" applyBorder="1">
      <protection hidden="0" locked="1"/>
    </xf>
    <xf fontId="0" fillId="8" borderId="1" numFmtId="0" xfId="0" applyFill="1" applyBorder="1">
      <protection hidden="0" locked="1"/>
    </xf>
    <xf fontId="0" fillId="9" borderId="1" numFmtId="11" xfId="0" applyNumberFormat="1" applyFill="1" applyBorder="1"/>
    <xf fontId="0" fillId="10" borderId="1" numFmtId="11" xfId="0" applyNumberFormat="1" applyFill="1" applyBorder="1"/>
    <xf fontId="0" fillId="11" borderId="1" numFmtId="11" xfId="0" applyNumberFormat="1" applyFill="1" applyBorder="1"/>
    <xf fontId="0" fillId="3" borderId="11" numFmtId="0" xfId="0" applyFill="1" applyBorder="1"/>
    <xf fontId="0" fillId="3" borderId="12" numFmtId="0" xfId="0" applyFill="1" applyBorder="1"/>
    <xf fontId="0" fillId="4" borderId="9" numFmtId="0" xfId="0" applyFill="1" applyBorder="1"/>
    <xf fontId="0" fillId="3" borderId="4" numFmtId="0" xfId="0" applyFill="1" applyBorder="1"/>
    <xf fontId="0" fillId="9" borderId="1" numFmtId="0" xfId="0" applyFill="1" applyBorder="1"/>
    <xf fontId="0" fillId="12" borderId="1" numFmtId="0" xfId="0" applyFill="1" applyBorder="1"/>
    <xf fontId="0" fillId="3" borderId="13" numFmtId="0" xfId="0" applyFill="1" applyBorder="1"/>
    <xf fontId="0" fillId="12" borderId="1" numFmtId="11" xfId="0" applyNumberFormat="1" applyFill="1" applyBorder="1"/>
    <xf fontId="0" fillId="13" borderId="1" numFmtId="11" xfId="0" applyNumberFormat="1" applyFill="1" applyBorder="1"/>
    <xf fontId="0" fillId="4" borderId="14" numFmtId="0" xfId="0" applyFill="1" applyBorder="1"/>
    <xf fontId="0" fillId="12" borderId="15" numFmtId="0" xfId="0" applyFill="1" applyBorder="1"/>
    <xf fontId="0" fillId="12" borderId="16" numFmtId="0" xfId="0" applyFill="1" applyBorder="1"/>
    <xf fontId="0" fillId="9" borderId="9" numFmtId="0" xfId="0" applyFill="1" applyBorder="1"/>
    <xf fontId="0" fillId="12" borderId="17" numFmtId="11" xfId="0" applyNumberFormat="1" applyFill="1" applyBorder="1"/>
    <xf fontId="0" fillId="12" borderId="16" numFmtId="11" xfId="0" applyNumberFormat="1" applyFill="1" applyBorder="1"/>
    <xf fontId="0" fillId="12" borderId="18" numFmtId="11" xfId="0" applyNumberFormat="1" applyFill="1" applyBorder="1"/>
    <xf fontId="0" fillId="9" borderId="19" numFmtId="0" xfId="0" applyFill="1" applyBorder="1"/>
    <xf fontId="0" fillId="12" borderId="7" numFmtId="11" xfId="0" applyNumberFormat="1" applyFill="1" applyBorder="1"/>
    <xf fontId="0" fillId="0" borderId="1" numFmtId="11" xfId="0" applyNumberFormat="1" applyBorder="1"/>
    <xf fontId="0" fillId="9" borderId="14" numFmtId="0" xfId="0" applyFill="1" applyBorder="1"/>
    <xf fontId="0" fillId="11" borderId="1" numFmtId="0" xfId="0" applyFill="1" applyBorder="1"/>
    <xf fontId="0" fillId="12" borderId="20" numFmtId="11" xfId="0" applyNumberFormat="1" applyFill="1" applyBorder="1"/>
    <xf fontId="0" fillId="7" borderId="1" numFmtId="0" xfId="0" applyFill="1" applyBorder="1"/>
    <xf fontId="0" fillId="0" borderId="1" numFmtId="0" xfId="0" applyBorder="1">
      <protection hidden="0" locked="1"/>
    </xf>
    <xf fontId="0" fillId="14" borderId="0" numFmtId="0" xfId="0" applyFill="1"/>
    <xf fontId="0" fillId="14" borderId="0" numFmtId="0" xfId="0" applyFill="1">
      <protection hidden="0" locked="1"/>
    </xf>
    <xf fontId="0" fillId="3" borderId="16" numFmtId="0" xfId="0" applyFill="1" applyBorder="1"/>
    <xf fontId="0" fillId="3" borderId="21" numFmtId="0" xfId="0" applyFill="1" applyBorder="1"/>
    <xf fontId="0" fillId="3" borderId="22" numFmtId="0" xfId="0" applyFill="1" applyBorder="1"/>
    <xf fontId="0" fillId="3" borderId="23" numFmtId="0" xfId="0" applyFill="1" applyBorder="1"/>
    <xf fontId="0" fillId="4" borderId="19" numFmtId="0" xfId="0" applyFill="1" applyBorder="1"/>
    <xf fontId="0" fillId="9" borderId="15" numFmtId="11" xfId="0" applyNumberFormat="1" applyFill="1" applyBorder="1"/>
    <xf fontId="0" fillId="10" borderId="18" numFmtId="11" xfId="0" applyNumberFormat="1" applyFill="1" applyBorder="1"/>
    <xf fontId="0" fillId="9" borderId="17" numFmtId="11" xfId="0" applyNumberFormat="1" applyFill="1" applyBorder="1"/>
    <xf fontId="0" fillId="9" borderId="7" numFmtId="11" xfId="0" applyNumberFormat="1" applyFill="1" applyBorder="1"/>
    <xf fontId="0" fillId="9" borderId="20" numFmtId="11" xfId="0" applyNumberFormat="1" applyFill="1" applyBorder="1"/>
    <xf fontId="0" fillId="3" borderId="24" numFmtId="0" xfId="0" applyFill="1" applyBorder="1"/>
    <xf fontId="0" fillId="5" borderId="1" numFmtId="11" xfId="0" applyNumberFormat="1" applyFill="1" applyBorder="1"/>
    <xf fontId="0" fillId="5" borderId="18" numFmtId="11" xfId="0" applyNumberFormat="1" applyFill="1" applyBorder="1"/>
    <xf fontId="0" fillId="5" borderId="25" numFmtId="11" xfId="0" applyNumberFormat="1" applyFill="1" applyBorder="1"/>
    <xf fontId="0" fillId="2" borderId="13" numFmtId="0" xfId="0" applyFill="1" applyBorder="1"/>
    <xf fontId="0" fillId="0" borderId="5" numFmtId="0" xfId="0" applyBorder="1">
      <protection hidden="0" locked="1"/>
    </xf>
    <xf fontId="0" fillId="2" borderId="26" numFmtId="0" xfId="0" applyFill="1" applyBorder="1"/>
    <xf fontId="0" fillId="3" borderId="27" numFmtId="0" xfId="0" applyFill="1" applyBorder="1"/>
    <xf fontId="0" fillId="3" borderId="28" numFmtId="0" xfId="0" applyFill="1" applyBorder="1"/>
    <xf fontId="0" fillId="3" borderId="29" numFmtId="0" xfId="0" applyFill="1" applyBorder="1"/>
    <xf fontId="0" fillId="4" borderId="5" numFmtId="0" xfId="0" applyFill="1" applyBorder="1"/>
    <xf fontId="0" fillId="0" borderId="10" numFmtId="0" xfId="0" applyBorder="1">
      <protection hidden="0" locked="1"/>
    </xf>
    <xf fontId="0" fillId="5" borderId="20" numFmtId="1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E1" zoomScale="100" workbookViewId="0">
      <selection activeCell="A1" activeCellId="0" sqref="A1"/>
    </sheetView>
  </sheetViews>
  <sheetFormatPr defaultRowHeight="14.25"/>
  <cols>
    <col customWidth="1" min="4" max="4" width="10.00390625"/>
    <col customWidth="1" min="13" max="14" width="10.421875"/>
    <col bestFit="1" min="19" max="19" width="10.8515625"/>
    <col bestFit="1" min="21" max="21" width="10.8515625"/>
    <col customWidth="1" min="32" max="32" width="9.57421875"/>
    <col customWidth="1" min="41" max="41" width="10.421875"/>
  </cols>
  <sheetData>
    <row r="1" ht="14.25">
      <c r="B1" t="s">
        <v>0</v>
      </c>
      <c r="D1" s="1" t="s">
        <v>1</v>
      </c>
      <c r="E1" s="2">
        <v>128</v>
      </c>
      <c r="F1" s="1" t="s">
        <v>2</v>
      </c>
      <c r="G1" s="1"/>
      <c r="H1" s="2">
        <v>5</v>
      </c>
      <c r="J1" s="3"/>
      <c r="L1" s="3"/>
      <c r="O1" t="s">
        <v>3</v>
      </c>
      <c r="Q1" s="1" t="s">
        <v>4</v>
      </c>
      <c r="R1" s="2" t="s">
        <v>5</v>
      </c>
      <c r="S1" s="1" t="s">
        <v>2</v>
      </c>
      <c r="T1" s="2">
        <v>5</v>
      </c>
      <c r="U1" s="3"/>
      <c r="AC1" s="4"/>
      <c r="AD1" s="4" t="s">
        <v>6</v>
      </c>
      <c r="AE1" s="4"/>
      <c r="AF1" s="1" t="s">
        <v>1</v>
      </c>
      <c r="AG1" s="2">
        <v>128</v>
      </c>
      <c r="AH1" s="1" t="s">
        <v>2</v>
      </c>
      <c r="AI1" s="1"/>
      <c r="AJ1" s="2">
        <v>5</v>
      </c>
      <c r="AK1" s="3"/>
      <c r="AM1" s="3"/>
      <c r="AO1" s="4"/>
      <c r="AQ1" s="4" t="s">
        <v>7</v>
      </c>
      <c r="AR1" s="5"/>
      <c r="AS1" s="1" t="s">
        <v>8</v>
      </c>
      <c r="AT1" s="2">
        <v>128</v>
      </c>
      <c r="AU1" s="1" t="s">
        <v>2</v>
      </c>
      <c r="AV1" s="2">
        <v>5</v>
      </c>
      <c r="AX1" s="4"/>
      <c r="AY1" s="4"/>
      <c r="AZ1" s="4"/>
      <c r="BA1" s="4"/>
      <c r="BB1" s="4"/>
      <c r="BC1" s="4"/>
    </row>
    <row r="2" ht="14.25"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</row>
    <row r="3" ht="14.25">
      <c r="D3" t="s">
        <v>9</v>
      </c>
      <c r="O3" s="4"/>
      <c r="P3" s="6"/>
      <c r="Q3" s="6"/>
      <c r="R3" s="7" t="s">
        <v>9</v>
      </c>
      <c r="S3" s="6"/>
      <c r="T3" s="6"/>
      <c r="U3" s="6"/>
      <c r="V3" s="6"/>
      <c r="W3" s="4"/>
      <c r="X3" s="4"/>
      <c r="Y3" s="4">
        <v>1.2003079809299999</v>
      </c>
      <c r="Z3" s="4"/>
      <c r="AC3" s="4"/>
      <c r="AD3" s="6"/>
      <c r="AE3" s="6"/>
      <c r="AF3" s="7" t="s">
        <v>9</v>
      </c>
      <c r="AG3" s="6"/>
      <c r="AH3" s="6"/>
      <c r="AI3" s="6"/>
      <c r="AJ3" s="6"/>
      <c r="AK3" s="4"/>
      <c r="AL3" s="4"/>
      <c r="AM3" s="4"/>
      <c r="AN3" s="4"/>
      <c r="AO3" s="4"/>
      <c r="AQ3" s="4"/>
      <c r="AR3" s="6"/>
      <c r="AS3" s="6"/>
      <c r="AT3" s="7" t="s">
        <v>9</v>
      </c>
      <c r="AU3" s="6"/>
      <c r="AV3" s="6"/>
      <c r="AW3" s="6"/>
      <c r="AX3" s="6"/>
      <c r="AY3" s="4"/>
      <c r="AZ3" s="4"/>
      <c r="BA3" s="4"/>
      <c r="BB3" s="4"/>
      <c r="BC3" s="4"/>
    </row>
    <row r="4" ht="14.25">
      <c r="B4" s="1"/>
      <c r="C4" s="8">
        <v>1</v>
      </c>
      <c r="D4" s="8">
        <v>2</v>
      </c>
      <c r="E4" s="1">
        <v>4</v>
      </c>
      <c r="F4" s="1">
        <v>8</v>
      </c>
      <c r="G4" s="1">
        <v>12</v>
      </c>
      <c r="H4" s="1">
        <v>16</v>
      </c>
      <c r="I4" s="1">
        <v>24</v>
      </c>
      <c r="J4" s="1">
        <v>32</v>
      </c>
      <c r="K4" s="1">
        <v>48</v>
      </c>
      <c r="L4" s="1">
        <v>64</v>
      </c>
      <c r="O4" s="5"/>
      <c r="P4" s="1"/>
      <c r="Q4" s="1" t="s">
        <v>10</v>
      </c>
      <c r="R4" s="1" t="s">
        <v>11</v>
      </c>
      <c r="S4" s="1" t="s">
        <v>12</v>
      </c>
      <c r="T4" s="1" t="s">
        <v>13</v>
      </c>
      <c r="U4" s="1" t="s">
        <v>14</v>
      </c>
      <c r="V4" s="1" t="s">
        <v>15</v>
      </c>
      <c r="W4" s="1" t="s">
        <v>16</v>
      </c>
      <c r="X4" s="1" t="s">
        <v>17</v>
      </c>
      <c r="Y4" s="1" t="s">
        <v>18</v>
      </c>
      <c r="Z4" s="1" t="s">
        <v>19</v>
      </c>
      <c r="AA4" s="3"/>
      <c r="AB4" s="3"/>
      <c r="AC4" s="5"/>
      <c r="AD4" s="1"/>
      <c r="AE4" s="1" t="s">
        <v>10</v>
      </c>
      <c r="AF4" s="1" t="s">
        <v>11</v>
      </c>
      <c r="AG4" s="1" t="s">
        <v>12</v>
      </c>
      <c r="AH4" s="1" t="s">
        <v>13</v>
      </c>
      <c r="AI4" s="1" t="s">
        <v>14</v>
      </c>
      <c r="AJ4" s="1" t="s">
        <v>15</v>
      </c>
      <c r="AK4" s="1" t="s">
        <v>16</v>
      </c>
      <c r="AL4" s="1" t="s">
        <v>17</v>
      </c>
      <c r="AM4" s="1" t="s">
        <v>18</v>
      </c>
      <c r="AN4" s="1" t="s">
        <v>19</v>
      </c>
      <c r="AO4" s="9" t="s">
        <v>20</v>
      </c>
      <c r="AQ4" s="5"/>
      <c r="AR4" s="1"/>
      <c r="AS4" s="1" t="s">
        <v>10</v>
      </c>
      <c r="AT4" s="1" t="s">
        <v>11</v>
      </c>
      <c r="AU4" s="1" t="s">
        <v>12</v>
      </c>
      <c r="AV4" s="1" t="s">
        <v>13</v>
      </c>
      <c r="AW4" s="1" t="s">
        <v>14</v>
      </c>
      <c r="AX4" s="1" t="s">
        <v>15</v>
      </c>
      <c r="AY4" s="1" t="s">
        <v>16</v>
      </c>
      <c r="AZ4" s="1" t="s">
        <v>17</v>
      </c>
      <c r="BA4" s="1" t="s">
        <v>18</v>
      </c>
      <c r="BB4" s="1" t="s">
        <v>19</v>
      </c>
      <c r="BC4" s="10"/>
    </row>
    <row r="5" ht="14.25">
      <c r="B5" s="11" t="s">
        <v>21</v>
      </c>
      <c r="C5" s="12">
        <v>2.75</v>
      </c>
      <c r="D5" s="13">
        <v>3</v>
      </c>
      <c r="E5" s="14">
        <v>4</v>
      </c>
      <c r="F5" s="15">
        <v>5</v>
      </c>
      <c r="G5" s="15">
        <v>5</v>
      </c>
      <c r="H5" s="15">
        <v>5</v>
      </c>
      <c r="I5" s="15">
        <v>5</v>
      </c>
      <c r="J5" s="15">
        <v>5</v>
      </c>
      <c r="K5" s="15">
        <v>5</v>
      </c>
      <c r="L5" s="15">
        <v>5</v>
      </c>
      <c r="O5" s="5"/>
      <c r="P5" s="1" t="s">
        <v>21</v>
      </c>
      <c r="Q5" s="9" t="s">
        <v>22</v>
      </c>
      <c r="R5" s="9" t="s">
        <v>22</v>
      </c>
      <c r="S5" s="9" t="s">
        <v>22</v>
      </c>
      <c r="T5" s="16">
        <v>0.0044999999999999997</v>
      </c>
      <c r="U5" s="17">
        <v>0.00026600000000000001</v>
      </c>
      <c r="V5" s="18">
        <v>6.9999999999999994e-05</v>
      </c>
      <c r="W5" s="18">
        <v>1.4504240076125994e-05</v>
      </c>
      <c r="X5" s="18">
        <v>4.7999999999999998e-06</v>
      </c>
      <c r="Y5" s="18">
        <f>ABS(1.20030693682-Y$3)/Y$3</f>
        <v>8.6986841427624255e-07</v>
      </c>
      <c r="Z5" s="18">
        <v>1.5800000000000001e-07</v>
      </c>
      <c r="AA5" s="9" t="s">
        <v>23</v>
      </c>
      <c r="AB5" s="19"/>
      <c r="AC5" s="20" t="s">
        <v>4</v>
      </c>
      <c r="AD5" s="1" t="s">
        <v>5</v>
      </c>
      <c r="AE5" s="21">
        <v>2.4375</v>
      </c>
      <c r="AF5" s="21">
        <v>2.55878125</v>
      </c>
      <c r="AG5" s="21">
        <v>2.859375</v>
      </c>
      <c r="AH5" s="21">
        <v>3.671875</v>
      </c>
      <c r="AI5" s="21"/>
      <c r="AJ5" s="22">
        <v>5</v>
      </c>
      <c r="AK5" s="22">
        <v>5</v>
      </c>
      <c r="AL5" s="22">
        <v>5</v>
      </c>
      <c r="AM5" s="22">
        <v>5</v>
      </c>
      <c r="AN5" s="22">
        <v>5</v>
      </c>
      <c r="AO5" s="22" t="s">
        <v>24</v>
      </c>
      <c r="AQ5" s="5"/>
      <c r="AR5" s="1" t="s">
        <v>21</v>
      </c>
      <c r="AS5" s="9" t="s">
        <v>22</v>
      </c>
      <c r="AT5" s="9" t="s">
        <v>22</v>
      </c>
      <c r="AU5" s="9" t="s">
        <v>22</v>
      </c>
      <c r="AV5" s="23">
        <v>0.00038200000000000002</v>
      </c>
      <c r="AW5" s="24">
        <v>3.3500000000000001e-05</v>
      </c>
      <c r="AX5" s="25">
        <v>8.7299999999999994e-06</v>
      </c>
      <c r="AY5" s="25">
        <v>1.9e-06</v>
      </c>
      <c r="AZ5" s="18">
        <v>5.9500000000000002e-07</v>
      </c>
      <c r="BA5" s="18">
        <v>9.7500000000000006e-08</v>
      </c>
      <c r="BB5" s="18">
        <v>1.6400000000000001e-08</v>
      </c>
      <c r="BC5" s="9" t="s">
        <v>23</v>
      </c>
    </row>
    <row r="6" ht="14.25">
      <c r="B6" s="11" t="s">
        <v>25</v>
      </c>
      <c r="C6" s="26">
        <v>2.625</v>
      </c>
      <c r="D6" s="27">
        <v>3.5</v>
      </c>
      <c r="E6" s="28">
        <v>5</v>
      </c>
      <c r="F6" s="15">
        <v>5</v>
      </c>
      <c r="G6" s="15">
        <v>5</v>
      </c>
      <c r="H6" s="15">
        <v>5</v>
      </c>
      <c r="I6" s="15">
        <v>5</v>
      </c>
      <c r="J6" s="15">
        <v>5</v>
      </c>
      <c r="K6" s="15">
        <v>5</v>
      </c>
      <c r="L6" s="15">
        <v>5</v>
      </c>
      <c r="O6" s="20"/>
      <c r="P6" s="1" t="s">
        <v>25</v>
      </c>
      <c r="Q6" s="29" t="s">
        <v>22</v>
      </c>
      <c r="R6" s="29" t="s">
        <v>22</v>
      </c>
      <c r="S6" s="30">
        <v>0.057200000000000001</v>
      </c>
      <c r="T6" s="16">
        <v>0.0011000000000000001</v>
      </c>
      <c r="U6" s="18">
        <v>1.4600000000000001e-05</v>
      </c>
      <c r="V6" s="18">
        <v>3.6399999999999999e-06</v>
      </c>
      <c r="W6" s="18">
        <v>7.8946477376529366e-07</v>
      </c>
      <c r="X6" s="18">
        <v>2.6300000000000001e-07</v>
      </c>
      <c r="Y6" s="18">
        <f>ABS(1.20030792052-Y$3)/Y$3</f>
        <v>5.0328749663494e-08</v>
      </c>
      <c r="Z6" s="18">
        <v>9.2900000000000008e-09</v>
      </c>
      <c r="AA6" s="31" t="s">
        <v>26</v>
      </c>
      <c r="AB6" s="19"/>
      <c r="AD6" s="3"/>
      <c r="AE6" s="3"/>
      <c r="AF6" s="3"/>
      <c r="AG6" s="3"/>
      <c r="AH6" s="3"/>
      <c r="AJ6" s="3"/>
      <c r="AK6" s="3"/>
      <c r="AM6" s="3"/>
      <c r="AO6" s="3"/>
      <c r="AQ6" s="20"/>
      <c r="AR6" s="1" t="s">
        <v>25</v>
      </c>
      <c r="AS6" s="32" t="s">
        <v>22</v>
      </c>
      <c r="AT6" s="32" t="s">
        <v>22</v>
      </c>
      <c r="AU6" s="33">
        <v>0.0019400000000000001</v>
      </c>
      <c r="AV6" s="24">
        <v>6.9099999999999999e-05</v>
      </c>
      <c r="AW6" s="17">
        <v>1.5999999999999999e-06</v>
      </c>
      <c r="AX6" s="18">
        <v>3.72e-07</v>
      </c>
      <c r="AY6" s="18">
        <v>7.6799999999999999e-08</v>
      </c>
      <c r="AZ6" s="18">
        <v>2.29e-08</v>
      </c>
      <c r="BA6" s="18">
        <v>3.8099999999999999e-09</v>
      </c>
      <c r="BB6" s="34">
        <v>6.0499999999999998e-10</v>
      </c>
      <c r="BC6" s="31" t="s">
        <v>27</v>
      </c>
    </row>
    <row r="7" ht="14.25">
      <c r="B7" s="1" t="s">
        <v>28</v>
      </c>
      <c r="C7" s="35">
        <v>5</v>
      </c>
      <c r="D7" s="35">
        <v>5</v>
      </c>
      <c r="E7" s="15">
        <v>5</v>
      </c>
      <c r="F7" s="15">
        <v>5</v>
      </c>
      <c r="G7" s="15">
        <v>5</v>
      </c>
      <c r="H7" s="15">
        <v>5</v>
      </c>
      <c r="I7" s="15">
        <v>5</v>
      </c>
      <c r="J7" s="15">
        <v>5</v>
      </c>
      <c r="K7" s="15">
        <v>5</v>
      </c>
      <c r="L7" s="15">
        <v>5</v>
      </c>
      <c r="M7" s="9" t="s">
        <v>23</v>
      </c>
      <c r="O7" s="4"/>
      <c r="P7" s="1" t="s">
        <v>28</v>
      </c>
      <c r="Q7" s="36">
        <v>0.16619999999999999</v>
      </c>
      <c r="R7" s="37">
        <v>0.1157</v>
      </c>
      <c r="S7" s="38">
        <v>0.0332</v>
      </c>
      <c r="T7" s="25">
        <v>0.00048480000000000002</v>
      </c>
      <c r="U7" s="18">
        <v>1.3e-06</v>
      </c>
      <c r="V7" s="18">
        <v>2.0200000000000001e-07</v>
      </c>
      <c r="W7" s="18">
        <v>4.53418209523113e-08</v>
      </c>
      <c r="X7" s="18">
        <v>1.52e-08</v>
      </c>
      <c r="Y7" s="18">
        <f>ABS(1.20030797732-Y$3)/Y$3</f>
        <v>3.0075613192261688e-09</v>
      </c>
      <c r="Z7" s="34">
        <v>5.6300000000000002e-10</v>
      </c>
      <c r="AA7" s="30" t="s">
        <v>29</v>
      </c>
      <c r="AB7" s="19"/>
      <c r="AC7" s="4"/>
      <c r="AD7" s="3"/>
      <c r="AE7" s="3"/>
      <c r="AF7" s="3"/>
      <c r="AG7" s="3"/>
      <c r="AH7" s="3"/>
      <c r="AJ7" s="3"/>
      <c r="AK7" s="3"/>
      <c r="AM7" s="3"/>
      <c r="AO7" s="3"/>
      <c r="AQ7" s="5"/>
      <c r="AR7" s="1" t="s">
        <v>28</v>
      </c>
      <c r="AS7" s="39">
        <v>0.0033800000000000002</v>
      </c>
      <c r="AT7" s="40">
        <v>0.0027399999999999998</v>
      </c>
      <c r="AU7" s="41">
        <v>0.0011100000000000001</v>
      </c>
      <c r="AV7" s="24">
        <v>3.0499999999999999e-05</v>
      </c>
      <c r="AW7" s="18">
        <v>1.2599999999999999e-07</v>
      </c>
      <c r="AX7" s="18">
        <v>1.7599999999999999e-08</v>
      </c>
      <c r="AY7" s="18">
        <v>3.4699999999999998e-09</v>
      </c>
      <c r="AZ7" s="34">
        <v>9.7399999999999995e-10</v>
      </c>
      <c r="BA7" s="34">
        <v>1.6699999999999999e-10</v>
      </c>
      <c r="BB7" s="34">
        <v>2.4499999999999999e-11</v>
      </c>
      <c r="BC7" s="30" t="s">
        <v>30</v>
      </c>
    </row>
    <row r="8" ht="14.25">
      <c r="A8" t="s">
        <v>4</v>
      </c>
      <c r="B8" s="1" t="s">
        <v>31</v>
      </c>
      <c r="C8" s="15">
        <v>5</v>
      </c>
      <c r="D8" s="15">
        <v>5</v>
      </c>
      <c r="E8" s="15">
        <v>5</v>
      </c>
      <c r="F8" s="15">
        <v>5</v>
      </c>
      <c r="G8" s="15">
        <v>5</v>
      </c>
      <c r="H8" s="15">
        <v>5</v>
      </c>
      <c r="I8" s="15">
        <v>5</v>
      </c>
      <c r="J8" s="15">
        <v>5</v>
      </c>
      <c r="K8" s="15">
        <v>5</v>
      </c>
      <c r="L8" s="15">
        <v>5</v>
      </c>
      <c r="M8" s="22" t="s">
        <v>32</v>
      </c>
      <c r="N8" s="4"/>
      <c r="O8" s="3" t="s">
        <v>4</v>
      </c>
      <c r="P8" s="1" t="s">
        <v>31</v>
      </c>
      <c r="Q8" s="36">
        <v>0.10929999999999999</v>
      </c>
      <c r="R8" s="42">
        <v>0.071499999999999994</v>
      </c>
      <c r="S8" s="30">
        <v>0.018100000000000002</v>
      </c>
      <c r="T8" s="25">
        <v>0.000233</v>
      </c>
      <c r="U8" s="18">
        <v>3.1918249392828e-07</v>
      </c>
      <c r="V8" s="18">
        <v>1.2100000000000001e-08</v>
      </c>
      <c r="W8" s="18">
        <v>2.7031787883111639e-09</v>
      </c>
      <c r="X8" s="34">
        <v>9.1600000000000004e-10</v>
      </c>
      <c r="Y8" s="34">
        <f>ABS(1.20030798071-Y$3)/Y$3</f>
        <v>1.8328612293973137e-10</v>
      </c>
      <c r="Z8" s="34">
        <v>3.4799999999999999e-11</v>
      </c>
      <c r="AA8" s="16" t="s">
        <v>27</v>
      </c>
      <c r="AB8" s="19"/>
      <c r="AD8" s="3"/>
      <c r="AE8" s="3"/>
      <c r="AF8" s="3"/>
      <c r="AG8" s="3"/>
      <c r="AH8" s="3"/>
      <c r="AJ8" s="3"/>
      <c r="AK8" s="3"/>
      <c r="AM8" s="3"/>
      <c r="AO8" s="4"/>
      <c r="AQ8" s="20" t="s">
        <v>4</v>
      </c>
      <c r="AR8" s="1" t="s">
        <v>31</v>
      </c>
      <c r="AS8" s="39">
        <v>0.0023800000000000002</v>
      </c>
      <c r="AT8" s="43">
        <v>0.00181</v>
      </c>
      <c r="AU8" s="23">
        <v>0.00064899999999999995</v>
      </c>
      <c r="AV8" s="24">
        <v>1.5699999999999999e-05</v>
      </c>
      <c r="AW8" s="18">
        <v>3.1400000000000003e-08</v>
      </c>
      <c r="AX8" s="44">
        <v>9.590000000000001e-10</v>
      </c>
      <c r="AY8" s="44">
        <v>1.7399999999999999e-10</v>
      </c>
      <c r="AZ8" s="44">
        <v>4.7099999999999998e-11</v>
      </c>
      <c r="BA8" s="44">
        <v>9.7899999999999993e-12</v>
      </c>
      <c r="BB8" s="44">
        <v>2.8000000000000002e-12</v>
      </c>
      <c r="BC8" s="16" t="s">
        <v>33</v>
      </c>
    </row>
    <row r="9" ht="14.25">
      <c r="B9" s="1" t="s">
        <v>34</v>
      </c>
      <c r="C9" s="15">
        <v>5</v>
      </c>
      <c r="D9" s="15">
        <v>5</v>
      </c>
      <c r="E9" s="15">
        <v>5</v>
      </c>
      <c r="F9" s="15">
        <v>5</v>
      </c>
      <c r="G9" s="15">
        <v>5</v>
      </c>
      <c r="H9" s="15">
        <v>5</v>
      </c>
      <c r="I9" s="15">
        <v>5</v>
      </c>
      <c r="J9" s="15">
        <v>5</v>
      </c>
      <c r="K9" s="15">
        <v>5</v>
      </c>
      <c r="L9" s="15">
        <v>5</v>
      </c>
      <c r="O9" s="5"/>
      <c r="P9" s="1" t="s">
        <v>34</v>
      </c>
      <c r="Q9" s="45">
        <v>0.059299999999999999</v>
      </c>
      <c r="R9" s="30">
        <v>0.036900000000000002</v>
      </c>
      <c r="S9" s="16">
        <v>0.0085000000000000006</v>
      </c>
      <c r="T9" s="25">
        <v>0.000102</v>
      </c>
      <c r="U9" s="18">
        <v>1.2304189636237786e-07</v>
      </c>
      <c r="V9" s="44">
        <v>8.6300000000000002e-10</v>
      </c>
      <c r="W9" s="34">
        <v>1.6482798764934358e-10</v>
      </c>
      <c r="X9" s="34">
        <v>5.9899999999999995e-11</v>
      </c>
      <c r="Y9" s="34">
        <f>ABS(1.20030798092-Y$3)/Y$3</f>
        <v>8.3311958149738358e-12</v>
      </c>
      <c r="Z9" s="34">
        <v>2.0499999999999999e-12</v>
      </c>
      <c r="AA9" s="46" t="s">
        <v>30</v>
      </c>
      <c r="AB9" s="19"/>
      <c r="AC9" s="4"/>
      <c r="AD9" s="3"/>
      <c r="AE9" s="4"/>
      <c r="AF9" s="4"/>
      <c r="AG9" s="4"/>
      <c r="AH9" s="4"/>
      <c r="AI9" s="4"/>
      <c r="AJ9" s="4"/>
      <c r="AK9" s="4"/>
      <c r="AL9" s="4"/>
      <c r="AM9" s="4"/>
      <c r="AN9" s="4"/>
      <c r="AO9" s="3"/>
      <c r="AQ9" s="5"/>
      <c r="AR9" s="1" t="s">
        <v>34</v>
      </c>
      <c r="AS9" s="47">
        <v>0.0015100000000000001</v>
      </c>
      <c r="AT9" s="33">
        <v>0.00109</v>
      </c>
      <c r="AU9" s="23">
        <v>0.00035599999999999998</v>
      </c>
      <c r="AV9" s="25">
        <v>8.0499999999999992e-06</v>
      </c>
      <c r="AW9" s="18">
        <v>1.4100000000000001e-08</v>
      </c>
      <c r="AX9" s="44">
        <v>7.5499999999999998e-11</v>
      </c>
      <c r="AY9" s="44">
        <v>9.2899999999999994e-12</v>
      </c>
      <c r="AZ9" s="44">
        <v>3.27e-12</v>
      </c>
      <c r="BA9" s="44">
        <v>2.41e-12</v>
      </c>
      <c r="BB9" s="44">
        <v>1.9600000000000001e-12</v>
      </c>
      <c r="BC9" s="46" t="s">
        <v>35</v>
      </c>
    </row>
    <row r="10" ht="14.25">
      <c r="B10" s="1" t="s">
        <v>36</v>
      </c>
      <c r="C10" s="15">
        <v>5</v>
      </c>
      <c r="D10" s="15">
        <v>5</v>
      </c>
      <c r="E10" s="15">
        <v>5</v>
      </c>
      <c r="F10" s="15">
        <v>5</v>
      </c>
      <c r="G10" s="15">
        <v>5</v>
      </c>
      <c r="H10" s="15">
        <v>5</v>
      </c>
      <c r="I10" s="15">
        <v>5</v>
      </c>
      <c r="J10" s="15">
        <v>5</v>
      </c>
      <c r="K10" s="15">
        <v>5</v>
      </c>
      <c r="L10" s="15">
        <v>5</v>
      </c>
      <c r="O10" s="5"/>
      <c r="P10" s="1" t="s">
        <v>36</v>
      </c>
      <c r="Q10" s="30">
        <v>0.022800000000000001</v>
      </c>
      <c r="R10" s="30">
        <v>0.0137</v>
      </c>
      <c r="S10" s="16">
        <v>0.0030000000000000001</v>
      </c>
      <c r="T10" s="18">
        <v>3.4499999999999998e-05</v>
      </c>
      <c r="U10" s="18">
        <v>4.0518789377304e-08</v>
      </c>
      <c r="V10" s="44">
        <v>9.4400000000000005e-11</v>
      </c>
      <c r="W10" s="34">
        <v>9.4187421513910617e-12</v>
      </c>
      <c r="X10" s="34">
        <v>5.9900000000000001e-12</v>
      </c>
      <c r="Y10" s="34">
        <f>ABS(1.20030798093-Y$3)/Y$3</f>
        <v>0</v>
      </c>
      <c r="Z10" s="34">
        <v>0</v>
      </c>
      <c r="AA10" s="48" t="s">
        <v>37</v>
      </c>
      <c r="AC10" s="4"/>
      <c r="AD10" s="3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3"/>
      <c r="AQ10" s="5"/>
      <c r="AR10" s="1" t="s">
        <v>36</v>
      </c>
      <c r="AS10" s="23">
        <v>0.00086700000000000004</v>
      </c>
      <c r="AT10" s="23">
        <v>0.00060599999999999998</v>
      </c>
      <c r="AU10" s="23">
        <v>0.00018699999999999999</v>
      </c>
      <c r="AV10" s="25">
        <v>4.0799999999999999e-06</v>
      </c>
      <c r="AW10" s="18">
        <v>6.9900000000000001e-09</v>
      </c>
      <c r="AX10" s="44">
        <v>1.4700000000000002e-11</v>
      </c>
      <c r="AY10" s="44">
        <v>2.4499999999999999e-12</v>
      </c>
      <c r="AZ10" s="44">
        <v>2.8599999999999999e-12</v>
      </c>
      <c r="BA10" s="44">
        <v>3.12e-12</v>
      </c>
      <c r="BB10" s="44">
        <v>2.0100000000000001e-12</v>
      </c>
      <c r="BC10" s="48" t="s">
        <v>38</v>
      </c>
    </row>
    <row r="11" ht="14.25">
      <c r="B11" s="1" t="s">
        <v>5</v>
      </c>
      <c r="C11" s="15">
        <v>5</v>
      </c>
      <c r="D11" s="15">
        <v>5</v>
      </c>
      <c r="E11" s="15">
        <v>5</v>
      </c>
      <c r="F11" s="15">
        <v>5</v>
      </c>
      <c r="G11" s="15">
        <v>5</v>
      </c>
      <c r="H11" s="15">
        <v>5</v>
      </c>
      <c r="I11" s="15">
        <v>5</v>
      </c>
      <c r="J11" s="15">
        <v>5</v>
      </c>
      <c r="K11" s="15">
        <v>5</v>
      </c>
      <c r="L11" s="15">
        <v>5</v>
      </c>
      <c r="O11" s="5"/>
      <c r="P11" s="1" t="s">
        <v>5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9" t="s">
        <v>39</v>
      </c>
      <c r="AC11" s="4"/>
      <c r="AD11" s="3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3"/>
      <c r="AQ11" s="5"/>
      <c r="AR11" s="1" t="s">
        <v>5</v>
      </c>
      <c r="AS11" s="23">
        <v>0.00046900000000000002</v>
      </c>
      <c r="AT11" s="23">
        <v>0.000321</v>
      </c>
      <c r="AU11" s="24">
        <v>9.59e-05</v>
      </c>
      <c r="AV11" s="25">
        <v>2.0499999999999999e-06</v>
      </c>
      <c r="AW11" s="18">
        <v>3.4999999999999999e-09</v>
      </c>
      <c r="AX11" s="44">
        <v>6.0000000000000003e-12</v>
      </c>
      <c r="AY11" s="44">
        <v>3.07e-12</v>
      </c>
      <c r="AZ11" s="44">
        <v>3.12e-12</v>
      </c>
      <c r="BA11" s="44">
        <v>3.55e-12</v>
      </c>
      <c r="BB11" s="44">
        <v>2.2100000000000001e-12</v>
      </c>
      <c r="BC11" s="49" t="s">
        <v>40</v>
      </c>
    </row>
    <row r="12" ht="14.25">
      <c r="B12" s="3"/>
      <c r="C12" s="3"/>
      <c r="D12" s="3"/>
      <c r="E12" s="3"/>
      <c r="F12" s="3"/>
      <c r="H12" s="3"/>
      <c r="J12" s="3"/>
      <c r="L12" s="3"/>
      <c r="O12" s="4"/>
      <c r="P12" s="3"/>
      <c r="Q12" s="3"/>
      <c r="R12" s="3"/>
      <c r="S12" s="3"/>
      <c r="T12" s="3"/>
      <c r="V12" s="3"/>
      <c r="X12" s="4"/>
      <c r="Y12" s="4"/>
      <c r="Z12" s="4"/>
      <c r="AC12" s="4"/>
      <c r="AD12" s="3"/>
      <c r="AE12" s="3"/>
      <c r="AF12" s="3"/>
      <c r="AG12" s="3"/>
      <c r="AH12" s="3"/>
      <c r="AJ12" s="3"/>
      <c r="AK12" s="3"/>
      <c r="AM12" s="3"/>
      <c r="AO12" s="3"/>
    </row>
    <row r="13" ht="14.25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1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</row>
    <row r="14" ht="14.25">
      <c r="B14" s="3"/>
      <c r="X14" s="4"/>
      <c r="Y14" s="4"/>
      <c r="Z14" s="4"/>
      <c r="AO14" s="3"/>
    </row>
    <row r="15" ht="14.25">
      <c r="A15" s="4"/>
      <c r="B15" t="s">
        <v>0</v>
      </c>
      <c r="C15" s="5"/>
      <c r="D15" s="1" t="s">
        <v>1</v>
      </c>
      <c r="E15" s="2">
        <v>256</v>
      </c>
      <c r="F15" s="1" t="s">
        <v>2</v>
      </c>
      <c r="G15" s="1"/>
      <c r="H15" s="2">
        <v>5</v>
      </c>
      <c r="I15" s="3"/>
      <c r="K15" s="3"/>
      <c r="M15" s="4"/>
      <c r="N15" s="4"/>
      <c r="O15" t="s">
        <v>41</v>
      </c>
      <c r="P15" s="5"/>
      <c r="Q15" s="1" t="s">
        <v>4</v>
      </c>
      <c r="R15" s="2" t="s">
        <v>5</v>
      </c>
      <c r="S15" s="1" t="s">
        <v>2</v>
      </c>
      <c r="T15" s="2">
        <v>5</v>
      </c>
      <c r="V15" s="4"/>
      <c r="W15" s="4"/>
      <c r="X15" s="4"/>
      <c r="Y15" s="4"/>
      <c r="Z15" s="4"/>
      <c r="AA15" s="4"/>
      <c r="AB15" s="4"/>
      <c r="AC15" s="4"/>
      <c r="AD15" s="4" t="s">
        <v>6</v>
      </c>
      <c r="AE15" s="4"/>
      <c r="AF15" s="1" t="s">
        <v>1</v>
      </c>
      <c r="AG15" s="2">
        <v>256</v>
      </c>
      <c r="AH15" s="1" t="s">
        <v>2</v>
      </c>
      <c r="AI15" s="1"/>
      <c r="AJ15" s="2">
        <v>5</v>
      </c>
      <c r="AK15" s="3"/>
      <c r="AM15" s="3"/>
      <c r="AO15" s="3"/>
      <c r="AQ15" s="4" t="s">
        <v>7</v>
      </c>
      <c r="AR15" s="5"/>
      <c r="AS15" s="1" t="s">
        <v>8</v>
      </c>
      <c r="AT15" s="2">
        <v>256</v>
      </c>
      <c r="AU15" s="1" t="s">
        <v>2</v>
      </c>
      <c r="AV15" s="2">
        <v>5</v>
      </c>
      <c r="AX15" s="4"/>
      <c r="AY15" s="4"/>
      <c r="AZ15" s="4"/>
      <c r="BA15" s="4"/>
      <c r="BB15" s="4"/>
      <c r="BC15" s="4"/>
      <c r="BD15" s="4"/>
    </row>
    <row r="16" ht="14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3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ht="14.25">
      <c r="A17" s="4"/>
      <c r="B17" s="6"/>
      <c r="C17" s="6"/>
      <c r="D17" s="7" t="s">
        <v>9</v>
      </c>
      <c r="E17" s="6"/>
      <c r="F17" s="6"/>
      <c r="G17" s="6"/>
      <c r="H17" s="6"/>
      <c r="I17" s="4"/>
      <c r="J17" s="4"/>
      <c r="K17" s="4"/>
      <c r="L17" s="4"/>
      <c r="M17" s="4"/>
      <c r="N17" s="4"/>
      <c r="O17" s="4"/>
      <c r="P17" s="6"/>
      <c r="Q17" s="6"/>
      <c r="R17" s="7" t="s">
        <v>9</v>
      </c>
      <c r="S17" s="6"/>
      <c r="T17" s="6"/>
      <c r="U17" s="6"/>
      <c r="V17" s="6"/>
      <c r="W17" s="4"/>
      <c r="X17" s="4"/>
      <c r="Y17" s="4"/>
      <c r="Z17" s="4"/>
      <c r="AA17" s="4"/>
      <c r="AB17" s="4"/>
      <c r="AC17" s="4"/>
      <c r="AD17" s="6"/>
      <c r="AE17" s="6"/>
      <c r="AF17" s="7" t="s">
        <v>9</v>
      </c>
      <c r="AG17" s="6"/>
      <c r="AH17" s="6"/>
      <c r="AI17" s="6"/>
      <c r="AJ17" s="6"/>
      <c r="AK17" s="4"/>
      <c r="AL17" s="4"/>
      <c r="AM17" s="4"/>
      <c r="AN17" s="4"/>
      <c r="AO17" s="3"/>
      <c r="AQ17" s="4"/>
      <c r="AR17" s="6"/>
      <c r="AS17" s="6"/>
      <c r="AT17" s="7" t="s">
        <v>9</v>
      </c>
      <c r="AU17" s="6"/>
      <c r="AV17" s="6"/>
      <c r="AW17" s="6"/>
      <c r="AX17" s="6"/>
      <c r="AY17" s="4"/>
      <c r="AZ17" s="4"/>
      <c r="BA17" s="4"/>
      <c r="BB17" s="4"/>
      <c r="BC17" s="4"/>
      <c r="BD17" s="4"/>
    </row>
    <row r="18" ht="14.25">
      <c r="A18" s="5"/>
      <c r="B18" s="1"/>
      <c r="C18" s="8">
        <v>1</v>
      </c>
      <c r="D18" s="8">
        <v>2</v>
      </c>
      <c r="E18" s="8">
        <v>4</v>
      </c>
      <c r="F18" s="1">
        <v>8</v>
      </c>
      <c r="G18" s="1">
        <v>12</v>
      </c>
      <c r="H18" s="1">
        <v>16</v>
      </c>
      <c r="I18" s="1">
        <v>24</v>
      </c>
      <c r="J18" s="1">
        <v>32</v>
      </c>
      <c r="K18" s="1">
        <v>48</v>
      </c>
      <c r="L18" s="1">
        <v>64</v>
      </c>
      <c r="M18" s="4"/>
      <c r="N18" s="4"/>
      <c r="O18" s="5"/>
      <c r="P18" s="1"/>
      <c r="Q18" s="1" t="s">
        <v>10</v>
      </c>
      <c r="R18" s="1" t="s">
        <v>11</v>
      </c>
      <c r="S18" s="1" t="s">
        <v>12</v>
      </c>
      <c r="T18" s="1" t="s">
        <v>13</v>
      </c>
      <c r="U18" s="1" t="s">
        <v>14</v>
      </c>
      <c r="V18" s="1" t="s">
        <v>15</v>
      </c>
      <c r="W18" s="1" t="s">
        <v>16</v>
      </c>
      <c r="X18" s="1" t="s">
        <v>17</v>
      </c>
      <c r="Y18" s="1" t="s">
        <v>18</v>
      </c>
      <c r="Z18" s="1" t="s">
        <v>19</v>
      </c>
      <c r="AA18" s="4"/>
      <c r="AB18" s="4"/>
      <c r="AC18" s="5"/>
      <c r="AD18" s="1"/>
      <c r="AE18" s="1" t="s">
        <v>10</v>
      </c>
      <c r="AF18" s="1" t="s">
        <v>11</v>
      </c>
      <c r="AG18" s="1" t="s">
        <v>12</v>
      </c>
      <c r="AH18" s="1" t="s">
        <v>13</v>
      </c>
      <c r="AI18" s="1" t="s">
        <v>14</v>
      </c>
      <c r="AJ18" s="1" t="s">
        <v>15</v>
      </c>
      <c r="AK18" s="1" t="s">
        <v>16</v>
      </c>
      <c r="AL18" s="1" t="s">
        <v>17</v>
      </c>
      <c r="AM18" s="1" t="s">
        <v>18</v>
      </c>
      <c r="AN18" s="1" t="s">
        <v>19</v>
      </c>
      <c r="AO18" s="9" t="s">
        <v>20</v>
      </c>
      <c r="AQ18" s="5"/>
      <c r="AR18" s="1"/>
      <c r="AS18" s="1" t="s">
        <v>10</v>
      </c>
      <c r="AT18" s="1" t="s">
        <v>11</v>
      </c>
      <c r="AU18" s="1" t="s">
        <v>12</v>
      </c>
      <c r="AV18" s="1" t="s">
        <v>13</v>
      </c>
      <c r="AW18" s="1" t="s">
        <v>14</v>
      </c>
      <c r="AX18" s="1" t="s">
        <v>15</v>
      </c>
      <c r="AY18" s="1" t="s">
        <v>16</v>
      </c>
      <c r="AZ18" s="1" t="s">
        <v>17</v>
      </c>
      <c r="BA18" s="1" t="s">
        <v>18</v>
      </c>
      <c r="BB18" s="1" t="s">
        <v>19</v>
      </c>
      <c r="BC18" s="10"/>
      <c r="BD18" s="4"/>
    </row>
    <row r="19" ht="14.25">
      <c r="A19" s="5"/>
      <c r="B19" s="11" t="s">
        <v>21</v>
      </c>
      <c r="C19" s="52">
        <v>2.75</v>
      </c>
      <c r="D19" s="53">
        <v>3</v>
      </c>
      <c r="E19" s="54">
        <v>4.25</v>
      </c>
      <c r="F19" s="15">
        <v>5</v>
      </c>
      <c r="G19" s="28">
        <v>5</v>
      </c>
      <c r="H19" s="15">
        <v>5</v>
      </c>
      <c r="I19" s="15">
        <v>5</v>
      </c>
      <c r="J19" s="15">
        <v>5</v>
      </c>
      <c r="K19" s="15">
        <v>5</v>
      </c>
      <c r="L19" s="15">
        <v>5</v>
      </c>
      <c r="M19" s="4"/>
      <c r="N19" s="4"/>
      <c r="O19" s="5"/>
      <c r="P19" s="1" t="s">
        <v>21</v>
      </c>
      <c r="Q19" s="9" t="s">
        <v>22</v>
      </c>
      <c r="R19" s="9" t="s">
        <v>22</v>
      </c>
      <c r="S19" s="9" t="s">
        <v>22</v>
      </c>
      <c r="T19" s="16">
        <v>0.0030000000000000001</v>
      </c>
      <c r="U19" s="17">
        <v>0.00026400000000000002</v>
      </c>
      <c r="V19" s="18">
        <v>6.9999999999999994e-05</v>
      </c>
      <c r="W19" s="18">
        <v>1.4504240076125994e-05</v>
      </c>
      <c r="X19" s="18">
        <v>4.7999999999999998e-06</v>
      </c>
      <c r="Y19" s="18">
        <f>ABS(1.20030693682-Y$3)/Y$3</f>
        <v>8.6986841427624255e-07</v>
      </c>
      <c r="Z19" s="18">
        <v>1.5800000000000001e-07</v>
      </c>
      <c r="AA19" s="9" t="s">
        <v>23</v>
      </c>
      <c r="AB19" s="19"/>
      <c r="AC19" s="20" t="s">
        <v>4</v>
      </c>
      <c r="AD19" s="1" t="s">
        <v>5</v>
      </c>
      <c r="AE19" s="21">
        <v>3.10546875</v>
      </c>
      <c r="AF19" s="21">
        <v>3.484375</v>
      </c>
      <c r="AG19" s="21">
        <v>4.0078125</v>
      </c>
      <c r="AH19" s="21">
        <v>4.83203125</v>
      </c>
      <c r="AI19" s="22">
        <v>5</v>
      </c>
      <c r="AJ19" s="22">
        <v>5</v>
      </c>
      <c r="AK19" s="22">
        <v>5</v>
      </c>
      <c r="AL19" s="22">
        <v>5</v>
      </c>
      <c r="AM19" s="22">
        <v>5</v>
      </c>
      <c r="AN19" s="22">
        <v>5</v>
      </c>
      <c r="AO19" s="22" t="s">
        <v>24</v>
      </c>
      <c r="AQ19" s="5"/>
      <c r="AR19" s="1" t="s">
        <v>21</v>
      </c>
      <c r="AS19" s="9" t="s">
        <v>22</v>
      </c>
      <c r="AT19" s="9" t="s">
        <v>22</v>
      </c>
      <c r="AU19" s="9" t="s">
        <v>22</v>
      </c>
      <c r="AV19" s="23">
        <v>0.00029100000000000003</v>
      </c>
      <c r="AW19" s="24">
        <v>3.3300000000000003e-05</v>
      </c>
      <c r="AX19" s="25">
        <v>8.7299999999999994e-06</v>
      </c>
      <c r="AY19" s="25">
        <v>1.9e-06</v>
      </c>
      <c r="AZ19" s="18">
        <v>5.9500000000000002e-07</v>
      </c>
      <c r="BA19" s="18">
        <v>9.7500000000000006e-08</v>
      </c>
      <c r="BB19" s="18">
        <v>1.6400000000000001e-08</v>
      </c>
      <c r="BC19" s="9" t="s">
        <v>23</v>
      </c>
      <c r="BD19" s="4"/>
    </row>
    <row r="20" ht="14.25">
      <c r="A20" s="20"/>
      <c r="B20" s="11" t="s">
        <v>25</v>
      </c>
      <c r="C20" s="52">
        <v>2.375</v>
      </c>
      <c r="D20" s="55">
        <v>3</v>
      </c>
      <c r="E20" s="56">
        <v>5</v>
      </c>
      <c r="F20" s="15">
        <v>5</v>
      </c>
      <c r="G20" s="15">
        <v>5</v>
      </c>
      <c r="H20" s="15">
        <v>5</v>
      </c>
      <c r="I20" s="15">
        <v>5</v>
      </c>
      <c r="J20" s="15">
        <v>5</v>
      </c>
      <c r="K20" s="15">
        <v>5</v>
      </c>
      <c r="L20" s="15">
        <v>5</v>
      </c>
      <c r="M20" s="4"/>
      <c r="N20" s="4"/>
      <c r="O20" s="20"/>
      <c r="P20" s="1" t="s">
        <v>25</v>
      </c>
      <c r="Q20" s="9" t="s">
        <v>22</v>
      </c>
      <c r="R20" s="9" t="s">
        <v>22</v>
      </c>
      <c r="S20" s="30">
        <v>0.0112</v>
      </c>
      <c r="T20" s="25">
        <v>0.00018200000000000001</v>
      </c>
      <c r="U20" s="18">
        <v>1.34e-05</v>
      </c>
      <c r="V20" s="18">
        <v>3.6399999999999999e-06</v>
      </c>
      <c r="W20" s="18">
        <v>7.8946477376529366e-07</v>
      </c>
      <c r="X20" s="18">
        <v>2.6300000000000001e-07</v>
      </c>
      <c r="Y20" s="18">
        <f>ABS(1.20030792052-Y$3)/Y$3</f>
        <v>5.0328749663494e-08</v>
      </c>
      <c r="Z20" s="18">
        <v>9.2900000000000008e-09</v>
      </c>
      <c r="AA20" s="31" t="s">
        <v>26</v>
      </c>
      <c r="AB20" s="19"/>
      <c r="AD20" s="3"/>
      <c r="AE20" s="3"/>
      <c r="AF20" s="3"/>
      <c r="AG20" s="3"/>
      <c r="AH20" s="3"/>
      <c r="AJ20" s="3"/>
      <c r="AK20" s="3"/>
      <c r="AM20" s="3"/>
      <c r="AO20" s="3"/>
      <c r="AQ20" s="20"/>
      <c r="AR20" s="1" t="s">
        <v>25</v>
      </c>
      <c r="AS20" s="29" t="s">
        <v>22</v>
      </c>
      <c r="AT20" s="32" t="s">
        <v>22</v>
      </c>
      <c r="AU20" s="23">
        <v>0.00043399999999999998</v>
      </c>
      <c r="AV20" s="24">
        <v>1.49e-05</v>
      </c>
      <c r="AW20" s="17">
        <v>1.5e-06</v>
      </c>
      <c r="AX20" s="18">
        <v>3.72e-07</v>
      </c>
      <c r="AY20" s="18">
        <v>7.6799999999999999e-08</v>
      </c>
      <c r="AZ20" s="18">
        <v>2.29e-08</v>
      </c>
      <c r="BA20" s="18">
        <v>3.8099999999999999e-09</v>
      </c>
      <c r="BB20" s="34">
        <v>6.0499999999999998e-10</v>
      </c>
      <c r="BC20" s="31" t="s">
        <v>27</v>
      </c>
      <c r="BD20" s="4"/>
    </row>
    <row r="21" ht="14.25">
      <c r="A21" s="5"/>
      <c r="B21" s="11" t="s">
        <v>28</v>
      </c>
      <c r="C21" s="52">
        <v>2.75</v>
      </c>
      <c r="D21" s="56">
        <v>5</v>
      </c>
      <c r="E21" s="15">
        <v>5</v>
      </c>
      <c r="F21" s="15">
        <v>5</v>
      </c>
      <c r="G21" s="15">
        <v>5</v>
      </c>
      <c r="H21" s="15">
        <v>5</v>
      </c>
      <c r="I21" s="15">
        <v>5</v>
      </c>
      <c r="J21" s="15">
        <v>5</v>
      </c>
      <c r="K21" s="15">
        <v>5</v>
      </c>
      <c r="L21" s="15">
        <v>5</v>
      </c>
      <c r="M21" s="9" t="s">
        <v>23</v>
      </c>
      <c r="O21" s="4"/>
      <c r="P21" s="1" t="s">
        <v>28</v>
      </c>
      <c r="Q21" s="9" t="s">
        <v>22</v>
      </c>
      <c r="R21" s="30">
        <v>0.065199999999999994</v>
      </c>
      <c r="S21" s="16">
        <v>0.0020999999999999999</v>
      </c>
      <c r="T21" s="18">
        <v>9.4599999999999992e-06</v>
      </c>
      <c r="U21" s="18">
        <v>7.0476680691177568e-07</v>
      </c>
      <c r="V21" s="18">
        <v>2.0100000000000001e-07</v>
      </c>
      <c r="W21" s="18">
        <v>4.53418209523113e-08</v>
      </c>
      <c r="X21" s="18">
        <v>1.52e-08</v>
      </c>
      <c r="Y21" s="18">
        <f>ABS(1.20030797732-Y$3)/Y$3</f>
        <v>3.0075613192261688e-09</v>
      </c>
      <c r="Z21" s="34">
        <v>5.6300000000000002e-10</v>
      </c>
      <c r="AA21" s="30" t="s">
        <v>29</v>
      </c>
      <c r="AB21" s="19"/>
      <c r="AC21" s="4"/>
      <c r="AD21" s="3"/>
      <c r="AE21" s="3"/>
      <c r="AF21" s="3"/>
      <c r="AG21" s="3"/>
      <c r="AH21" s="3"/>
      <c r="AJ21" s="3"/>
      <c r="AK21" s="3"/>
      <c r="AM21" s="3"/>
      <c r="AO21" s="3"/>
      <c r="AQ21" s="5"/>
      <c r="AR21" s="1" t="s">
        <v>28</v>
      </c>
      <c r="AS21" s="32" t="s">
        <v>22</v>
      </c>
      <c r="AT21" s="57">
        <v>0.00083600000000000005</v>
      </c>
      <c r="AU21" s="58">
        <v>5.6100000000000002e-05</v>
      </c>
      <c r="AV21" s="18">
        <v>6.8500000000000001e-07</v>
      </c>
      <c r="AW21" s="18">
        <v>7.2100000000000004e-08</v>
      </c>
      <c r="AX21" s="18">
        <v>1.7500000000000001e-08</v>
      </c>
      <c r="AY21" s="18">
        <v>3.4699999999999998e-09</v>
      </c>
      <c r="AZ21" s="34">
        <v>9.7399999999999995e-10</v>
      </c>
      <c r="BA21" s="34">
        <v>1.6699999999999999e-10</v>
      </c>
      <c r="BB21" s="34">
        <v>2.4499999999999999e-11</v>
      </c>
      <c r="BC21" s="30" t="s">
        <v>30</v>
      </c>
      <c r="BD21" s="4"/>
    </row>
    <row r="22" ht="14.25">
      <c r="A22" s="20" t="s">
        <v>4</v>
      </c>
      <c r="B22" s="1" t="s">
        <v>31</v>
      </c>
      <c r="C22" s="35">
        <v>5</v>
      </c>
      <c r="D22" s="15">
        <v>5</v>
      </c>
      <c r="E22" s="15">
        <v>5</v>
      </c>
      <c r="F22" s="15">
        <v>5</v>
      </c>
      <c r="G22" s="15">
        <v>5</v>
      </c>
      <c r="H22" s="15">
        <v>5</v>
      </c>
      <c r="I22" s="15">
        <v>5</v>
      </c>
      <c r="J22" s="15">
        <v>5</v>
      </c>
      <c r="K22" s="15">
        <v>5</v>
      </c>
      <c r="L22" s="15">
        <v>5</v>
      </c>
      <c r="M22" s="22" t="s">
        <v>32</v>
      </c>
      <c r="N22" s="4"/>
      <c r="O22" s="3" t="s">
        <v>4</v>
      </c>
      <c r="P22" s="1" t="s">
        <v>31</v>
      </c>
      <c r="Q22" s="31">
        <v>0.10970000000000001</v>
      </c>
      <c r="R22" s="30">
        <v>0.034799999999999998</v>
      </c>
      <c r="S22" s="25">
        <v>0.00071299999999999998</v>
      </c>
      <c r="T22" s="18">
        <v>5.1200000000000003e-07</v>
      </c>
      <c r="U22" s="18">
        <v>3.9541822591621121e-08</v>
      </c>
      <c r="V22" s="18">
        <v>1.1700000000000001e-08</v>
      </c>
      <c r="W22" s="18">
        <v>2.7031787883111639e-09</v>
      </c>
      <c r="X22" s="34">
        <v>9.1600000000000004e-10</v>
      </c>
      <c r="Y22" s="34">
        <f>ABS(1.20030798071-Y$3)/Y$3</f>
        <v>1.8328612293973137e-10</v>
      </c>
      <c r="Z22" s="34">
        <v>3.4799999999999999e-11</v>
      </c>
      <c r="AA22" s="16" t="s">
        <v>27</v>
      </c>
      <c r="AB22" s="19"/>
      <c r="AD22" s="3"/>
      <c r="AE22" s="3"/>
      <c r="AF22" s="3"/>
      <c r="AG22" s="3"/>
      <c r="AH22" s="3"/>
      <c r="AJ22" s="3"/>
      <c r="AK22" s="3"/>
      <c r="AM22" s="3"/>
      <c r="AO22" s="4"/>
      <c r="AQ22" s="20" t="s">
        <v>4</v>
      </c>
      <c r="AR22" s="1" t="s">
        <v>31</v>
      </c>
      <c r="AS22" s="59">
        <v>0.00096299999999999999</v>
      </c>
      <c r="AT22" s="60">
        <v>0.000435</v>
      </c>
      <c r="AU22" s="24">
        <v>1.8e-05</v>
      </c>
      <c r="AV22" s="18">
        <v>3.4e-08</v>
      </c>
      <c r="AW22" s="18">
        <v>3.8000000000000001e-09</v>
      </c>
      <c r="AX22" s="44">
        <v>9.0899999999999996e-10</v>
      </c>
      <c r="AY22" s="44">
        <v>1.7399999999999999e-10</v>
      </c>
      <c r="AZ22" s="44">
        <v>4.7099999999999998e-11</v>
      </c>
      <c r="BA22" s="44">
        <v>9.7899999999999993e-12</v>
      </c>
      <c r="BB22" s="44">
        <v>2.8000000000000002e-12</v>
      </c>
      <c r="BC22" s="16" t="s">
        <v>33</v>
      </c>
      <c r="BD22" s="4"/>
    </row>
    <row r="23" ht="14.25">
      <c r="A23" s="5"/>
      <c r="B23" s="1" t="s">
        <v>34</v>
      </c>
      <c r="C23" s="15">
        <v>5</v>
      </c>
      <c r="D23" s="15">
        <v>5</v>
      </c>
      <c r="E23" s="15">
        <v>5</v>
      </c>
      <c r="F23" s="15">
        <v>5</v>
      </c>
      <c r="G23" s="15">
        <v>5</v>
      </c>
      <c r="H23" s="15">
        <v>5</v>
      </c>
      <c r="I23" s="15">
        <v>5</v>
      </c>
      <c r="J23" s="15">
        <v>5</v>
      </c>
      <c r="K23" s="15">
        <v>5</v>
      </c>
      <c r="L23" s="15">
        <v>5</v>
      </c>
      <c r="M23" s="4"/>
      <c r="N23" s="4"/>
      <c r="O23" s="5"/>
      <c r="P23" s="1" t="s">
        <v>34</v>
      </c>
      <c r="Q23" s="30">
        <v>0.061899999999999997</v>
      </c>
      <c r="R23" s="30">
        <v>0.017100000000000001</v>
      </c>
      <c r="S23" s="25">
        <v>0.00030800000000000001</v>
      </c>
      <c r="T23" s="18">
        <v>2.9999999999999997e-08</v>
      </c>
      <c r="U23" s="18">
        <v>2.3179596311956221e-09</v>
      </c>
      <c r="V23" s="44">
        <v>7.0099999999999996e-10</v>
      </c>
      <c r="W23" s="34">
        <v>1.6482798764934358e-10</v>
      </c>
      <c r="X23" s="34">
        <v>5.9899999999999995e-11</v>
      </c>
      <c r="Y23" s="34">
        <f>ABS(1.20030798092-Y$3)/Y$3</f>
        <v>8.3311958149738358e-12</v>
      </c>
      <c r="Z23" s="34">
        <v>2.0499999999999999e-12</v>
      </c>
      <c r="AA23" s="46" t="s">
        <v>30</v>
      </c>
      <c r="AB23" s="19"/>
      <c r="AC23" s="4"/>
      <c r="AD23" s="3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3"/>
      <c r="AQ23" s="5"/>
      <c r="AR23" s="1" t="s">
        <v>34</v>
      </c>
      <c r="AS23" s="61">
        <v>0.00063299999999999999</v>
      </c>
      <c r="AT23" s="23">
        <v>0.00024800000000000001</v>
      </c>
      <c r="AU23" s="25">
        <v>8.9700000000000005e-06</v>
      </c>
      <c r="AV23" s="18">
        <v>1.8899999999999999e-09</v>
      </c>
      <c r="AW23" s="34">
        <v>2.1400000000000001e-10</v>
      </c>
      <c r="AX23" s="44">
        <v>4.9499999999999997e-11</v>
      </c>
      <c r="AY23" s="44">
        <v>9.2899999999999994e-12</v>
      </c>
      <c r="AZ23" s="44">
        <v>3.27e-12</v>
      </c>
      <c r="BA23" s="44">
        <v>2.41e-12</v>
      </c>
      <c r="BB23" s="44">
        <v>1.9600000000000001e-12</v>
      </c>
      <c r="BC23" s="46" t="s">
        <v>35</v>
      </c>
      <c r="BD23" s="4"/>
    </row>
    <row r="24" ht="14.25">
      <c r="A24" s="5"/>
      <c r="B24" s="1" t="s">
        <v>36</v>
      </c>
      <c r="C24" s="15">
        <v>5</v>
      </c>
      <c r="D24" s="15">
        <v>5</v>
      </c>
      <c r="E24" s="15">
        <v>5</v>
      </c>
      <c r="F24" s="15">
        <v>5</v>
      </c>
      <c r="G24" s="15">
        <v>5</v>
      </c>
      <c r="H24" s="15">
        <v>5</v>
      </c>
      <c r="I24" s="15">
        <v>5</v>
      </c>
      <c r="J24" s="15">
        <v>5</v>
      </c>
      <c r="K24" s="15">
        <v>5</v>
      </c>
      <c r="L24" s="15">
        <v>5</v>
      </c>
      <c r="M24" s="4"/>
      <c r="N24" s="4"/>
      <c r="O24" s="5"/>
      <c r="P24" s="1" t="s">
        <v>36</v>
      </c>
      <c r="Q24" s="30">
        <v>0.025000000000000001</v>
      </c>
      <c r="R24" s="30">
        <v>0.015699999999999999</v>
      </c>
      <c r="S24" s="25">
        <v>0.000105</v>
      </c>
      <c r="T24" s="18">
        <v>1.9599999999999998e-09</v>
      </c>
      <c r="U24" s="34">
        <v>1.3115477318414371e-10</v>
      </c>
      <c r="V24" s="44">
        <v>4.0399999999999997e-11</v>
      </c>
      <c r="W24" s="34">
        <v>9.4187421513910617e-12</v>
      </c>
      <c r="X24" s="34">
        <v>5.9900000000000001e-12</v>
      </c>
      <c r="Y24" s="34">
        <f>ABS(1.20030798093-Y$3)/Y$3</f>
        <v>0</v>
      </c>
      <c r="Z24" s="34">
        <v>0</v>
      </c>
      <c r="AA24" s="48" t="s">
        <v>37</v>
      </c>
      <c r="AC24" s="4"/>
      <c r="AD24" s="3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3"/>
      <c r="AQ24" s="5"/>
      <c r="AR24" s="1" t="s">
        <v>36</v>
      </c>
      <c r="AS24" s="23">
        <v>0.00038299999999999999</v>
      </c>
      <c r="AT24" s="23">
        <v>0.000137</v>
      </c>
      <c r="AU24" s="25">
        <v>4.5900000000000001e-06</v>
      </c>
      <c r="AV24" s="44">
        <v>1.3799999999999999e-10</v>
      </c>
      <c r="AW24" s="44">
        <v>1.2000000000000001e-11</v>
      </c>
      <c r="AX24" s="44">
        <v>2.89e-12</v>
      </c>
      <c r="AY24" s="44">
        <v>2.4499999999999999e-12</v>
      </c>
      <c r="AZ24" s="44">
        <v>2.8599999999999999e-12</v>
      </c>
      <c r="BA24" s="44">
        <v>3.12e-12</v>
      </c>
      <c r="BB24" s="44">
        <v>2.0100000000000001e-12</v>
      </c>
      <c r="BC24" s="48" t="s">
        <v>38</v>
      </c>
      <c r="BD24" s="4"/>
    </row>
    <row r="25" ht="14.25">
      <c r="A25" s="5"/>
      <c r="B25" s="1" t="s">
        <v>5</v>
      </c>
      <c r="C25" s="15">
        <v>5</v>
      </c>
      <c r="D25" s="15">
        <v>5</v>
      </c>
      <c r="E25" s="15">
        <v>5</v>
      </c>
      <c r="F25" s="15">
        <v>5</v>
      </c>
      <c r="G25" s="15">
        <v>5</v>
      </c>
      <c r="H25" s="15">
        <v>5</v>
      </c>
      <c r="I25" s="15">
        <v>5</v>
      </c>
      <c r="J25" s="15">
        <v>5</v>
      </c>
      <c r="K25" s="15">
        <v>5</v>
      </c>
      <c r="L25" s="15">
        <v>5</v>
      </c>
      <c r="M25" s="4"/>
      <c r="N25" s="4"/>
      <c r="O25" s="5"/>
      <c r="P25" s="1" t="s">
        <v>5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9" t="s">
        <v>39</v>
      </c>
      <c r="AB25" s="4"/>
      <c r="AC25" s="4"/>
      <c r="AD25" s="3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3"/>
      <c r="AQ25" s="5"/>
      <c r="AR25" s="1" t="s">
        <v>5</v>
      </c>
      <c r="AS25" s="23">
        <v>0.000214</v>
      </c>
      <c r="AT25" s="24">
        <v>7.2299999999999996e-05</v>
      </c>
      <c r="AU25" s="25">
        <v>2.3300000000000001e-06</v>
      </c>
      <c r="AV25" s="44">
        <v>2.37e-11</v>
      </c>
      <c r="AW25" s="44">
        <v>2.8000000000000002e-12</v>
      </c>
      <c r="AX25" s="44">
        <v>2.9500000000000002e-12</v>
      </c>
      <c r="AY25" s="44">
        <v>3.07e-12</v>
      </c>
      <c r="AZ25" s="44">
        <v>3.12e-12</v>
      </c>
      <c r="BA25" s="44">
        <v>3.55e-12</v>
      </c>
      <c r="BB25" s="44">
        <v>2.2100000000000001e-12</v>
      </c>
      <c r="BC25" s="49" t="s">
        <v>40</v>
      </c>
      <c r="BD25" s="4"/>
    </row>
    <row r="26" ht="14.25">
      <c r="AC26" s="3"/>
      <c r="AD26" s="3"/>
      <c r="AE26" s="3"/>
      <c r="AF26" s="3"/>
      <c r="AG26" s="3"/>
      <c r="AH26" s="3"/>
      <c r="AJ26" s="3"/>
      <c r="AK26" s="3"/>
      <c r="AM26" s="3"/>
      <c r="AO26" s="3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ht="14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</row>
    <row r="29" ht="14.25">
      <c r="A29" s="4"/>
      <c r="B29" s="4" t="s">
        <v>0</v>
      </c>
      <c r="C29" s="5"/>
      <c r="D29" s="1" t="s">
        <v>1</v>
      </c>
      <c r="E29" s="2">
        <v>512</v>
      </c>
      <c r="F29" s="1" t="s">
        <v>2</v>
      </c>
      <c r="G29" s="1"/>
      <c r="H29" s="2">
        <v>5</v>
      </c>
      <c r="I29" s="3"/>
      <c r="K29" s="3"/>
      <c r="M29" s="4"/>
      <c r="N29" s="4"/>
      <c r="O29" t="s">
        <v>41</v>
      </c>
      <c r="P29" s="5"/>
      <c r="Q29" s="1" t="s">
        <v>4</v>
      </c>
      <c r="R29" s="2" t="s">
        <v>5</v>
      </c>
      <c r="S29" s="1" t="s">
        <v>2</v>
      </c>
      <c r="T29" s="2">
        <v>5</v>
      </c>
      <c r="V29" s="4"/>
      <c r="W29" s="4"/>
      <c r="X29" s="4"/>
      <c r="Y29" s="4"/>
      <c r="Z29" s="4"/>
      <c r="AC29" s="4"/>
      <c r="AD29" s="4" t="s">
        <v>6</v>
      </c>
      <c r="AE29" s="4"/>
      <c r="AF29" s="1" t="s">
        <v>1</v>
      </c>
      <c r="AG29" s="2">
        <v>512</v>
      </c>
      <c r="AH29" s="1" t="s">
        <v>2</v>
      </c>
      <c r="AI29" s="1"/>
      <c r="AJ29" s="2">
        <v>5</v>
      </c>
      <c r="AL29" s="3"/>
      <c r="AN29" s="3"/>
      <c r="AQ29" s="4" t="s">
        <v>7</v>
      </c>
      <c r="AR29" s="5"/>
      <c r="AS29" s="1" t="s">
        <v>8</v>
      </c>
      <c r="AT29" s="2">
        <v>512</v>
      </c>
      <c r="AU29" s="1" t="s">
        <v>2</v>
      </c>
      <c r="AV29" s="2">
        <v>5</v>
      </c>
      <c r="AX29" s="4"/>
      <c r="AY29" s="4"/>
      <c r="AZ29" s="4"/>
      <c r="BA29" s="4"/>
      <c r="BB29" s="4"/>
      <c r="BC29" s="4"/>
      <c r="BD29" s="4"/>
    </row>
    <row r="30" ht="14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ht="14.25">
      <c r="A31" s="4"/>
      <c r="B31" s="6"/>
      <c r="C31" s="6"/>
      <c r="D31" s="7" t="s">
        <v>9</v>
      </c>
      <c r="E31" s="6"/>
      <c r="F31" s="6"/>
      <c r="G31" s="6"/>
      <c r="H31" s="6"/>
      <c r="I31" s="4"/>
      <c r="J31" s="4"/>
      <c r="K31" s="4"/>
      <c r="L31" s="4"/>
      <c r="M31" s="4"/>
      <c r="N31" s="4"/>
      <c r="O31" s="4"/>
      <c r="P31" s="6"/>
      <c r="Q31" s="6"/>
      <c r="R31" s="7" t="s">
        <v>9</v>
      </c>
      <c r="S31" s="6"/>
      <c r="T31" s="6"/>
      <c r="U31" s="6"/>
      <c r="V31" s="6"/>
      <c r="W31" s="4"/>
      <c r="X31" s="4">
        <v>1.67074303938</v>
      </c>
      <c r="Y31" s="4"/>
      <c r="Z31" s="4"/>
      <c r="AC31" s="4"/>
      <c r="AD31" s="6"/>
      <c r="AE31" s="6"/>
      <c r="AF31" s="7" t="s">
        <v>9</v>
      </c>
      <c r="AG31" s="6"/>
      <c r="AH31" s="6"/>
      <c r="AI31" s="6"/>
      <c r="AJ31" s="6"/>
      <c r="AK31" s="4"/>
      <c r="AL31" s="4"/>
      <c r="AM31" s="4"/>
      <c r="AN31" s="4"/>
      <c r="AQ31" s="4"/>
      <c r="AR31" s="6"/>
      <c r="AS31" s="6"/>
      <c r="AT31" s="7" t="s">
        <v>9</v>
      </c>
      <c r="AU31" s="6"/>
      <c r="AV31" s="6"/>
      <c r="AW31" s="6"/>
      <c r="AX31" s="6"/>
      <c r="AY31" s="4"/>
      <c r="AZ31" s="4"/>
      <c r="BA31" s="4"/>
      <c r="BB31" s="4"/>
      <c r="BC31" s="4"/>
      <c r="BD31" s="4"/>
    </row>
    <row r="32" ht="14.25">
      <c r="A32" s="5"/>
      <c r="B32" s="1"/>
      <c r="C32" s="8">
        <v>1</v>
      </c>
      <c r="D32" s="8">
        <v>2</v>
      </c>
      <c r="E32" s="8">
        <v>4</v>
      </c>
      <c r="F32" s="1">
        <v>8</v>
      </c>
      <c r="G32" s="1">
        <v>12</v>
      </c>
      <c r="H32" s="1">
        <v>16</v>
      </c>
      <c r="I32" s="1">
        <v>24</v>
      </c>
      <c r="J32" s="1">
        <v>32</v>
      </c>
      <c r="K32" s="1">
        <v>48</v>
      </c>
      <c r="L32" s="1">
        <v>64</v>
      </c>
      <c r="M32" s="4"/>
      <c r="N32" s="4"/>
      <c r="O32" s="5"/>
      <c r="P32" s="1"/>
      <c r="Q32" s="1" t="s">
        <v>10</v>
      </c>
      <c r="R32" s="1" t="s">
        <v>11</v>
      </c>
      <c r="S32" s="1" t="s">
        <v>12</v>
      </c>
      <c r="T32" s="1" t="s">
        <v>13</v>
      </c>
      <c r="U32" s="1" t="s">
        <v>14</v>
      </c>
      <c r="V32" s="1" t="s">
        <v>15</v>
      </c>
      <c r="W32" s="1" t="s">
        <v>16</v>
      </c>
      <c r="X32" s="1" t="s">
        <v>17</v>
      </c>
      <c r="Y32" s="1" t="s">
        <v>18</v>
      </c>
      <c r="Z32" s="1" t="s">
        <v>19</v>
      </c>
      <c r="AC32" s="5"/>
      <c r="AD32" s="1"/>
      <c r="AE32" s="1" t="s">
        <v>10</v>
      </c>
      <c r="AF32" s="1" t="s">
        <v>11</v>
      </c>
      <c r="AG32" s="1" t="s">
        <v>12</v>
      </c>
      <c r="AH32" s="1" t="s">
        <v>13</v>
      </c>
      <c r="AI32" s="1" t="s">
        <v>14</v>
      </c>
      <c r="AJ32" s="1" t="s">
        <v>15</v>
      </c>
      <c r="AK32" s="1" t="s">
        <v>16</v>
      </c>
      <c r="AL32" s="1" t="s">
        <v>17</v>
      </c>
      <c r="AM32" s="1" t="s">
        <v>18</v>
      </c>
      <c r="AN32" s="1" t="s">
        <v>19</v>
      </c>
      <c r="AO32" s="9" t="s">
        <v>20</v>
      </c>
      <c r="AQ32" s="5"/>
      <c r="AR32" s="1"/>
      <c r="AS32" s="1" t="s">
        <v>10</v>
      </c>
      <c r="AT32" s="1" t="s">
        <v>11</v>
      </c>
      <c r="AU32" s="1" t="s">
        <v>12</v>
      </c>
      <c r="AV32" s="1" t="s">
        <v>13</v>
      </c>
      <c r="AW32" s="1" t="s">
        <v>14</v>
      </c>
      <c r="AX32" s="1" t="s">
        <v>15</v>
      </c>
      <c r="AY32" s="1" t="s">
        <v>16</v>
      </c>
      <c r="AZ32" s="1" t="s">
        <v>17</v>
      </c>
      <c r="BA32" s="1" t="s">
        <v>18</v>
      </c>
      <c r="BB32" s="1" t="s">
        <v>19</v>
      </c>
      <c r="BC32" s="10"/>
      <c r="BD32" s="4"/>
    </row>
    <row r="33" ht="14.25">
      <c r="A33" s="5"/>
      <c r="B33" s="11" t="s">
        <v>21</v>
      </c>
      <c r="C33" s="53">
        <v>2.75</v>
      </c>
      <c r="D33" s="53">
        <v>3</v>
      </c>
      <c r="E33" s="54">
        <v>4.25</v>
      </c>
      <c r="F33" s="15">
        <v>5</v>
      </c>
      <c r="G33" s="28">
        <v>5</v>
      </c>
      <c r="H33" s="15">
        <v>5</v>
      </c>
      <c r="I33" s="15">
        <v>5</v>
      </c>
      <c r="J33" s="15">
        <v>5</v>
      </c>
      <c r="K33" s="15">
        <v>5</v>
      </c>
      <c r="L33" s="15">
        <v>5</v>
      </c>
      <c r="M33" s="4"/>
      <c r="N33" s="4"/>
      <c r="O33" s="5"/>
      <c r="P33" s="1" t="s">
        <v>21</v>
      </c>
      <c r="Q33" s="9" t="s">
        <v>22</v>
      </c>
      <c r="R33" s="9" t="s">
        <v>22</v>
      </c>
      <c r="S33" s="9" t="s">
        <v>22</v>
      </c>
      <c r="T33" s="16">
        <v>0.0030000000000000001</v>
      </c>
      <c r="U33" s="17">
        <v>0.00026400000000000002</v>
      </c>
      <c r="V33" s="18">
        <v>6.9999999999999994e-05</v>
      </c>
      <c r="W33" s="18">
        <v>1.4504240076125994e-05</v>
      </c>
      <c r="X33" s="18">
        <v>4.7999999999999998e-06</v>
      </c>
      <c r="Y33" s="18">
        <f>ABS(1.20030693682-Y$3)/Y$3</f>
        <v>8.6986841427624255e-07</v>
      </c>
      <c r="Z33" s="18">
        <v>1.5800000000000001e-07</v>
      </c>
      <c r="AA33" s="9" t="s">
        <v>23</v>
      </c>
      <c r="AB33" s="19"/>
      <c r="AC33" s="20" t="s">
        <v>4</v>
      </c>
      <c r="AD33" s="1" t="s">
        <v>5</v>
      </c>
      <c r="AE33" s="21">
        <v>3.7382811999999999</v>
      </c>
      <c r="AF33" s="21">
        <v>4.16015625</v>
      </c>
      <c r="AG33" s="21">
        <v>4.6796875</v>
      </c>
      <c r="AH33" s="22">
        <v>5</v>
      </c>
      <c r="AI33" s="22">
        <v>5</v>
      </c>
      <c r="AJ33" s="22">
        <v>5</v>
      </c>
      <c r="AK33" s="22">
        <v>5</v>
      </c>
      <c r="AL33" s="22">
        <v>5</v>
      </c>
      <c r="AM33" s="22">
        <v>5</v>
      </c>
      <c r="AN33" s="22">
        <v>5</v>
      </c>
      <c r="AO33" s="22" t="s">
        <v>24</v>
      </c>
      <c r="AQ33" s="5"/>
      <c r="AR33" s="1" t="s">
        <v>21</v>
      </c>
      <c r="AS33" s="9" t="s">
        <v>22</v>
      </c>
      <c r="AT33" s="9" t="s">
        <v>22</v>
      </c>
      <c r="AU33" s="9" t="s">
        <v>22</v>
      </c>
      <c r="AV33" s="23">
        <v>0.00029100000000000003</v>
      </c>
      <c r="AW33" s="24">
        <v>3.3300000000000003e-05</v>
      </c>
      <c r="AX33" s="25">
        <v>8.7299999999999994e-06</v>
      </c>
      <c r="AY33" s="25">
        <v>1.9e-06</v>
      </c>
      <c r="AZ33" s="18">
        <v>5.9500000000000002e-07</v>
      </c>
      <c r="BA33" s="18">
        <v>9.7500000000000006e-08</v>
      </c>
      <c r="BB33" s="18">
        <v>1.6400000000000001e-08</v>
      </c>
      <c r="BC33" s="9" t="s">
        <v>23</v>
      </c>
      <c r="BD33" s="4"/>
    </row>
    <row r="34" ht="14.25">
      <c r="A34" s="20"/>
      <c r="B34" s="11" t="s">
        <v>25</v>
      </c>
      <c r="C34" s="62">
        <v>2.375</v>
      </c>
      <c r="D34" s="55">
        <v>3</v>
      </c>
      <c r="E34" s="56">
        <v>5</v>
      </c>
      <c r="F34" s="15">
        <v>5</v>
      </c>
      <c r="G34" s="15">
        <v>5</v>
      </c>
      <c r="H34" s="15">
        <v>5</v>
      </c>
      <c r="I34" s="15">
        <v>5</v>
      </c>
      <c r="J34" s="15">
        <v>5</v>
      </c>
      <c r="K34" s="15">
        <v>5</v>
      </c>
      <c r="L34" s="15">
        <v>5</v>
      </c>
      <c r="M34" s="4"/>
      <c r="N34" s="4"/>
      <c r="O34" s="20"/>
      <c r="P34" s="1" t="s">
        <v>25</v>
      </c>
      <c r="Q34" s="9" t="s">
        <v>22</v>
      </c>
      <c r="R34" s="9" t="s">
        <v>22</v>
      </c>
      <c r="S34" s="16">
        <v>0.0089999999999999993</v>
      </c>
      <c r="T34" s="25">
        <v>0.00018200000000000001</v>
      </c>
      <c r="U34" s="18">
        <v>1.34e-05</v>
      </c>
      <c r="V34" s="18">
        <v>3.6399999999999999e-06</v>
      </c>
      <c r="W34" s="18">
        <v>7.8946477376529366e-07</v>
      </c>
      <c r="X34" s="18">
        <v>2.6300000000000001e-07</v>
      </c>
      <c r="Y34" s="18">
        <f>ABS(1.20030792052-Y$3)/Y$3</f>
        <v>5.0328749663494e-08</v>
      </c>
      <c r="Z34" s="18">
        <v>9.2900000000000008e-09</v>
      </c>
      <c r="AA34" s="31" t="s">
        <v>26</v>
      </c>
      <c r="AB34" s="19"/>
      <c r="AD34" s="3"/>
      <c r="AQ34" s="20"/>
      <c r="AR34" s="1" t="s">
        <v>25</v>
      </c>
      <c r="AS34" s="29" t="s">
        <v>22</v>
      </c>
      <c r="AT34" s="32" t="s">
        <v>22</v>
      </c>
      <c r="AU34" s="23">
        <v>0.00038499999999999998</v>
      </c>
      <c r="AV34" s="63">
        <v>1.49e-05</v>
      </c>
      <c r="AW34" s="17">
        <v>1.5e-06</v>
      </c>
      <c r="AX34" s="18">
        <v>3.72e-07</v>
      </c>
      <c r="AY34" s="18">
        <v>7.6799999999999999e-08</v>
      </c>
      <c r="AZ34" s="18">
        <v>2.29e-08</v>
      </c>
      <c r="BA34" s="18">
        <v>3.8099999999999999e-09</v>
      </c>
      <c r="BB34" s="34">
        <v>6.0499999999999998e-10</v>
      </c>
      <c r="BC34" s="31" t="s">
        <v>27</v>
      </c>
      <c r="BD34" s="4"/>
    </row>
    <row r="35" ht="14.25">
      <c r="A35" s="5"/>
      <c r="B35" s="11" t="s">
        <v>28</v>
      </c>
      <c r="C35" s="55">
        <v>2.5625</v>
      </c>
      <c r="D35" s="56">
        <v>5</v>
      </c>
      <c r="E35" s="15">
        <v>5</v>
      </c>
      <c r="F35" s="15">
        <v>5</v>
      </c>
      <c r="G35" s="15">
        <v>5</v>
      </c>
      <c r="H35" s="15">
        <v>5</v>
      </c>
      <c r="I35" s="15">
        <v>5</v>
      </c>
      <c r="J35" s="15">
        <v>5</v>
      </c>
      <c r="K35" s="15">
        <v>5</v>
      </c>
      <c r="L35" s="15">
        <v>5</v>
      </c>
      <c r="M35" s="9" t="s">
        <v>23</v>
      </c>
      <c r="O35" s="4"/>
      <c r="P35" s="1" t="s">
        <v>28</v>
      </c>
      <c r="Q35" s="9" t="s">
        <v>22</v>
      </c>
      <c r="R35" s="30">
        <v>0.017399999999999999</v>
      </c>
      <c r="S35" s="25">
        <v>0.00076099999999999996</v>
      </c>
      <c r="T35" s="18">
        <v>9.4499999999999993e-06</v>
      </c>
      <c r="U35" s="18">
        <v>7.0476680691177568e-07</v>
      </c>
      <c r="V35" s="18">
        <v>2.0100000000000001e-07</v>
      </c>
      <c r="W35" s="18">
        <v>4.53418209523113e-08</v>
      </c>
      <c r="X35" s="18">
        <v>1.52e-08</v>
      </c>
      <c r="Y35" s="18">
        <f>ABS(1.20030797732-Y$3)/Y$3</f>
        <v>3.0075613192261688e-09</v>
      </c>
      <c r="Z35" s="34">
        <v>5.6300000000000002e-10</v>
      </c>
      <c r="AA35" s="30" t="s">
        <v>29</v>
      </c>
      <c r="AB35" s="19"/>
      <c r="AC35" s="4"/>
      <c r="AD35" s="3"/>
      <c r="AQ35" s="5"/>
      <c r="AR35" s="1" t="s">
        <v>28</v>
      </c>
      <c r="AS35" s="29" t="s">
        <v>22</v>
      </c>
      <c r="AT35" s="57">
        <v>0.000272</v>
      </c>
      <c r="AU35" s="64">
        <v>2.58e-05</v>
      </c>
      <c r="AV35" s="18">
        <v>6.8500000000000001e-07</v>
      </c>
      <c r="AW35" s="18">
        <v>7.2100000000000004e-08</v>
      </c>
      <c r="AX35" s="18">
        <v>1.7500000000000001e-08</v>
      </c>
      <c r="AY35" s="18">
        <v>3.4699999999999998e-09</v>
      </c>
      <c r="AZ35" s="34">
        <v>9.7399999999999995e-10</v>
      </c>
      <c r="BA35" s="34">
        <v>1.6699999999999999e-10</v>
      </c>
      <c r="BB35" s="34">
        <v>2.4499999999999999e-11</v>
      </c>
      <c r="BC35" s="30" t="s">
        <v>30</v>
      </c>
      <c r="BD35" s="4"/>
    </row>
    <row r="36" ht="14.25">
      <c r="A36" s="20" t="s">
        <v>4</v>
      </c>
      <c r="B36" s="11" t="s">
        <v>31</v>
      </c>
      <c r="C36" s="52">
        <v>4.71875</v>
      </c>
      <c r="D36" s="28">
        <v>5</v>
      </c>
      <c r="E36" s="15">
        <v>5</v>
      </c>
      <c r="F36" s="15">
        <v>5</v>
      </c>
      <c r="G36" s="15">
        <v>5</v>
      </c>
      <c r="H36" s="15">
        <v>5</v>
      </c>
      <c r="I36" s="15">
        <v>5</v>
      </c>
      <c r="J36" s="15">
        <v>5</v>
      </c>
      <c r="K36" s="15">
        <v>5</v>
      </c>
      <c r="L36" s="15">
        <v>5</v>
      </c>
      <c r="M36" s="22" t="s">
        <v>32</v>
      </c>
      <c r="N36" s="4"/>
      <c r="O36" s="3" t="s">
        <v>4</v>
      </c>
      <c r="P36" s="1" t="s">
        <v>31</v>
      </c>
      <c r="Q36" s="9" t="s">
        <v>22</v>
      </c>
      <c r="R36" s="16">
        <v>0.0035999999999999999</v>
      </c>
      <c r="S36" s="18">
        <v>3.6300000000000001e-05</v>
      </c>
      <c r="T36" s="18">
        <v>5.0999999999999999e-07</v>
      </c>
      <c r="U36" s="18">
        <v>3.9541822591621121e-08</v>
      </c>
      <c r="V36" s="18">
        <v>1.1700000000000001e-08</v>
      </c>
      <c r="W36" s="18">
        <v>2.7031787883111639e-09</v>
      </c>
      <c r="X36" s="34">
        <v>9.1600000000000004e-10</v>
      </c>
      <c r="Y36" s="34">
        <f>ABS(1.20030798071-Y$3)/Y$3</f>
        <v>1.8328612293973137e-10</v>
      </c>
      <c r="Z36" s="34">
        <v>3.4799999999999999e-11</v>
      </c>
      <c r="AA36" s="16" t="s">
        <v>27</v>
      </c>
      <c r="AB36" s="19"/>
      <c r="AD36" s="3"/>
      <c r="AQ36" s="20" t="s">
        <v>4</v>
      </c>
      <c r="AR36" s="1" t="s">
        <v>31</v>
      </c>
      <c r="AS36" s="32" t="s">
        <v>22</v>
      </c>
      <c r="AT36" s="65">
        <v>2.8900000000000001e-05</v>
      </c>
      <c r="AU36" s="25">
        <v>1.1200000000000001e-06</v>
      </c>
      <c r="AV36" s="18">
        <v>3.3799999999999998e-08</v>
      </c>
      <c r="AW36" s="18">
        <v>3.8000000000000001e-09</v>
      </c>
      <c r="AX36" s="44">
        <v>9.0899999999999996e-10</v>
      </c>
      <c r="AY36" s="44">
        <v>1.7399999999999999e-10</v>
      </c>
      <c r="AZ36" s="44">
        <v>4.7099999999999998e-11</v>
      </c>
      <c r="BA36" s="44">
        <v>9.7899999999999993e-12</v>
      </c>
      <c r="BB36" s="44">
        <v>2.8000000000000002e-12</v>
      </c>
      <c r="BC36" s="16" t="s">
        <v>33</v>
      </c>
      <c r="BD36" s="4"/>
    </row>
    <row r="37" ht="14.25">
      <c r="A37" s="5"/>
      <c r="B37" s="1" t="s">
        <v>34</v>
      </c>
      <c r="C37" s="35">
        <v>5</v>
      </c>
      <c r="D37" s="15">
        <v>5</v>
      </c>
      <c r="E37" s="15">
        <v>5</v>
      </c>
      <c r="F37" s="15">
        <v>5</v>
      </c>
      <c r="G37" s="15">
        <v>5</v>
      </c>
      <c r="H37" s="15">
        <v>5</v>
      </c>
      <c r="I37" s="15">
        <v>5</v>
      </c>
      <c r="J37" s="15">
        <v>5</v>
      </c>
      <c r="K37" s="15">
        <v>5</v>
      </c>
      <c r="L37" s="15">
        <v>5</v>
      </c>
      <c r="M37" s="4"/>
      <c r="N37" s="4"/>
      <c r="O37" s="5"/>
      <c r="P37" s="1" t="s">
        <v>34</v>
      </c>
      <c r="Q37" s="30">
        <v>0.030599999999999999</v>
      </c>
      <c r="R37" s="25">
        <v>0.000785</v>
      </c>
      <c r="S37" s="18">
        <v>1.72e-06</v>
      </c>
      <c r="T37" s="18">
        <v>2.9000000000000002e-08</v>
      </c>
      <c r="U37" s="18">
        <v>2.3179596311956221e-09</v>
      </c>
      <c r="V37" s="44">
        <v>7.0099999999999996e-10</v>
      </c>
      <c r="W37" s="34">
        <v>1.6482798764934358e-10</v>
      </c>
      <c r="X37" s="34">
        <v>5.9899999999999995e-11</v>
      </c>
      <c r="Y37" s="34">
        <f>ABS(1.20030798092-Y$3)/Y$3</f>
        <v>8.3311958149738358e-12</v>
      </c>
      <c r="Z37" s="34">
        <v>2.0499999999999999e-12</v>
      </c>
      <c r="AA37" s="46" t="s">
        <v>30</v>
      </c>
      <c r="AB37" s="19"/>
      <c r="AC37" s="4"/>
      <c r="AD37" s="3"/>
      <c r="AE37" s="4"/>
      <c r="AF37" s="4"/>
      <c r="AG37" s="4"/>
      <c r="AH37" s="4"/>
      <c r="AI37" s="4"/>
      <c r="AJ37" s="4"/>
      <c r="AK37" s="4"/>
      <c r="AL37" s="4"/>
      <c r="AM37" s="4"/>
      <c r="AN37" s="4"/>
      <c r="AQ37" s="5"/>
      <c r="AR37" s="1" t="s">
        <v>34</v>
      </c>
      <c r="AS37" s="61">
        <v>0.00015799999999999999</v>
      </c>
      <c r="AT37" s="25">
        <v>8.1799999999999996e-06</v>
      </c>
      <c r="AU37" s="18">
        <v>4.9999999999999998e-08</v>
      </c>
      <c r="AV37" s="18">
        <v>1.8199999999999999e-09</v>
      </c>
      <c r="AW37" s="34">
        <v>2.1400000000000001e-10</v>
      </c>
      <c r="AX37" s="44">
        <v>4.9499999999999997e-11</v>
      </c>
      <c r="AY37" s="44">
        <v>9.2899999999999994e-12</v>
      </c>
      <c r="AZ37" s="44">
        <v>3.27e-12</v>
      </c>
      <c r="BA37" s="44">
        <v>2.41e-12</v>
      </c>
      <c r="BB37" s="44">
        <v>1.9600000000000001e-12</v>
      </c>
      <c r="BC37" s="46" t="s">
        <v>35</v>
      </c>
      <c r="BD37" s="4"/>
    </row>
    <row r="38" ht="14.25">
      <c r="A38" s="5"/>
      <c r="B38" s="1" t="s">
        <v>36</v>
      </c>
      <c r="C38" s="15">
        <v>5</v>
      </c>
      <c r="D38" s="15">
        <v>5</v>
      </c>
      <c r="E38" s="15">
        <v>5</v>
      </c>
      <c r="F38" s="15">
        <v>5</v>
      </c>
      <c r="G38" s="15">
        <v>5</v>
      </c>
      <c r="H38" s="15">
        <v>5</v>
      </c>
      <c r="I38" s="15">
        <v>5</v>
      </c>
      <c r="J38" s="15">
        <v>5</v>
      </c>
      <c r="K38" s="15">
        <v>5</v>
      </c>
      <c r="L38" s="15">
        <v>5</v>
      </c>
      <c r="M38" s="4"/>
      <c r="N38" s="4"/>
      <c r="O38" s="5"/>
      <c r="P38" s="1" t="s">
        <v>36</v>
      </c>
      <c r="Q38" s="30">
        <v>0.0115</v>
      </c>
      <c r="R38" s="25">
        <v>0.000242</v>
      </c>
      <c r="S38" s="18">
        <v>8.42e-08</v>
      </c>
      <c r="T38" s="18">
        <v>1.63e-09</v>
      </c>
      <c r="U38" s="34">
        <v>1.3115477318414371e-10</v>
      </c>
      <c r="V38" s="44">
        <v>4.0399999999999997e-11</v>
      </c>
      <c r="W38" s="34">
        <v>9.4187421513910617e-12</v>
      </c>
      <c r="X38" s="34">
        <v>5.9900000000000001e-12</v>
      </c>
      <c r="Y38" s="34">
        <f>ABS(1.20030798093-Y$3)/Y$3</f>
        <v>0</v>
      </c>
      <c r="Z38" s="34">
        <v>0</v>
      </c>
      <c r="AA38" s="48" t="s">
        <v>37</v>
      </c>
      <c r="AB38" s="3"/>
      <c r="AC38" s="4"/>
      <c r="AD38" s="3"/>
      <c r="AE38" s="4"/>
      <c r="AF38" s="4"/>
      <c r="AG38" s="4"/>
      <c r="AH38" s="4"/>
      <c r="AI38" s="4"/>
      <c r="AJ38" s="4"/>
      <c r="AK38" s="4"/>
      <c r="AL38" s="4"/>
      <c r="AM38" s="4"/>
      <c r="AN38" s="4"/>
      <c r="AQ38" s="5"/>
      <c r="AR38" s="1" t="s">
        <v>36</v>
      </c>
      <c r="AS38" s="63">
        <v>9.0199999999999997e-05</v>
      </c>
      <c r="AT38" s="25">
        <v>3.7400000000000002e-06</v>
      </c>
      <c r="AU38" s="18">
        <v>2.4699999999999999e-09</v>
      </c>
      <c r="AV38" s="44">
        <v>1.0300000000000001e-10</v>
      </c>
      <c r="AW38" s="44">
        <v>1.2000000000000001e-11</v>
      </c>
      <c r="AX38" s="44">
        <v>3.4399999999999999e-12</v>
      </c>
      <c r="AY38" s="44">
        <v>2.4499999999999999e-12</v>
      </c>
      <c r="AZ38" s="44">
        <v>2.7500000000000002e-12</v>
      </c>
      <c r="BA38" s="44">
        <v>3.12e-12</v>
      </c>
      <c r="BB38" s="44">
        <v>2.0100000000000001e-12</v>
      </c>
      <c r="BC38" s="48" t="s">
        <v>38</v>
      </c>
      <c r="BD38" s="4"/>
    </row>
    <row r="39" ht="14.25">
      <c r="A39" s="5"/>
      <c r="B39" s="1" t="s">
        <v>5</v>
      </c>
      <c r="C39" s="15">
        <v>5</v>
      </c>
      <c r="D39" s="15">
        <v>5</v>
      </c>
      <c r="E39" s="15">
        <v>5</v>
      </c>
      <c r="F39" s="15">
        <v>5</v>
      </c>
      <c r="G39" s="15">
        <v>5</v>
      </c>
      <c r="H39" s="15">
        <v>5</v>
      </c>
      <c r="I39" s="15">
        <v>5</v>
      </c>
      <c r="J39" s="15">
        <v>5</v>
      </c>
      <c r="K39" s="15">
        <v>5</v>
      </c>
      <c r="L39" s="15">
        <v>5</v>
      </c>
      <c r="M39" s="4"/>
      <c r="N39" s="4"/>
      <c r="O39" s="5"/>
      <c r="P39" s="1" t="s">
        <v>5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9" t="s">
        <v>39</v>
      </c>
      <c r="AC39" s="4"/>
      <c r="AD39" s="3"/>
      <c r="AE39" s="4"/>
      <c r="AF39" s="4"/>
      <c r="AG39" s="4"/>
      <c r="AH39" s="4"/>
      <c r="AI39" s="4"/>
      <c r="AJ39" s="4"/>
      <c r="AK39" s="4"/>
      <c r="AL39" s="4"/>
      <c r="AM39" s="4"/>
      <c r="AN39" s="4"/>
      <c r="AQ39" s="5"/>
      <c r="AR39" s="1" t="s">
        <v>5</v>
      </c>
      <c r="AS39" s="63">
        <v>4.9799999999999998e-05</v>
      </c>
      <c r="AT39" s="25">
        <v>1.9099999999999999e-06</v>
      </c>
      <c r="AU39" s="44">
        <v>1.42e-10</v>
      </c>
      <c r="AV39" s="44">
        <v>6.3100000000000004e-12</v>
      </c>
      <c r="AW39" s="44">
        <v>2.8000000000000002e-12</v>
      </c>
      <c r="AX39" s="44">
        <v>2.69e-12</v>
      </c>
      <c r="AY39" s="44">
        <v>3.07e-12</v>
      </c>
      <c r="AZ39" s="44">
        <v>3.1000000000000001e-12</v>
      </c>
      <c r="BA39" s="44">
        <v>3.55e-12</v>
      </c>
      <c r="BB39" s="44">
        <v>2.18e-12</v>
      </c>
      <c r="BC39" s="49" t="s">
        <v>40</v>
      </c>
      <c r="BD39" s="4"/>
    </row>
    <row r="40" ht="14.25"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ht="14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</row>
    <row r="42" ht="14.25">
      <c r="A42" s="4"/>
      <c r="B42" s="4"/>
      <c r="C42" s="4"/>
      <c r="D42" s="6"/>
      <c r="E42" s="6"/>
      <c r="F42" s="6"/>
      <c r="G42" s="6"/>
      <c r="H42" s="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ht="14.25">
      <c r="A43" s="4"/>
      <c r="B43" s="4" t="s">
        <v>0</v>
      </c>
      <c r="C43" s="5"/>
      <c r="D43" s="1" t="s">
        <v>1</v>
      </c>
      <c r="E43" s="2">
        <v>1024</v>
      </c>
      <c r="F43" s="1" t="s">
        <v>2</v>
      </c>
      <c r="G43" s="1"/>
      <c r="H43" s="2">
        <v>5</v>
      </c>
      <c r="I43" s="3"/>
      <c r="K43" s="3"/>
      <c r="M43" s="4"/>
      <c r="N43" s="4"/>
      <c r="O43" t="s">
        <v>41</v>
      </c>
      <c r="P43" s="5"/>
      <c r="Q43" s="1" t="s">
        <v>4</v>
      </c>
      <c r="R43" s="2" t="s">
        <v>5</v>
      </c>
      <c r="S43" s="1" t="s">
        <v>2</v>
      </c>
      <c r="T43" s="2">
        <v>5</v>
      </c>
      <c r="V43" s="4"/>
      <c r="W43" s="4"/>
      <c r="X43" s="4"/>
      <c r="Y43" s="4"/>
      <c r="Z43" s="4"/>
      <c r="AA43" s="4"/>
      <c r="AB43" s="4"/>
      <c r="AC43" s="4"/>
      <c r="AD43" s="4" t="s">
        <v>6</v>
      </c>
      <c r="AE43" s="4"/>
      <c r="AF43" s="1" t="s">
        <v>1</v>
      </c>
      <c r="AG43" s="2">
        <v>1024</v>
      </c>
      <c r="AH43" s="1" t="s">
        <v>2</v>
      </c>
      <c r="AI43" s="1"/>
      <c r="AJ43" s="2">
        <v>5</v>
      </c>
      <c r="AL43" s="3"/>
      <c r="AN43" s="3"/>
      <c r="AQ43" s="4" t="s">
        <v>7</v>
      </c>
      <c r="AR43" s="5"/>
      <c r="AS43" s="1" t="s">
        <v>8</v>
      </c>
      <c r="AT43" s="2">
        <v>1024</v>
      </c>
      <c r="AU43" s="1" t="s">
        <v>2</v>
      </c>
      <c r="AV43" s="2">
        <v>5</v>
      </c>
      <c r="AX43" s="4"/>
      <c r="AY43" s="4"/>
      <c r="AZ43" s="4"/>
      <c r="BA43" s="4"/>
      <c r="BB43" s="4"/>
      <c r="BC43" s="4"/>
      <c r="BD43" s="4"/>
    </row>
    <row r="44" ht="14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ht="14.25">
      <c r="A45" s="4"/>
      <c r="B45" s="6"/>
      <c r="C45" s="6"/>
      <c r="D45" s="7" t="s">
        <v>9</v>
      </c>
      <c r="E45" s="6"/>
      <c r="F45" s="6"/>
      <c r="G45" s="6"/>
      <c r="H45" s="6"/>
      <c r="I45" s="4"/>
      <c r="J45" s="4"/>
      <c r="K45" s="4"/>
      <c r="L45" s="4"/>
      <c r="M45" s="4"/>
      <c r="N45" s="4"/>
      <c r="O45" s="4"/>
      <c r="P45" s="6"/>
      <c r="Q45" s="6"/>
      <c r="R45" s="7" t="s">
        <v>9</v>
      </c>
      <c r="S45" s="6"/>
      <c r="T45" s="6"/>
      <c r="U45" s="6"/>
      <c r="V45" s="6"/>
      <c r="W45" s="4"/>
      <c r="X45" s="4"/>
      <c r="Y45" s="4"/>
      <c r="Z45" s="4"/>
      <c r="AA45" s="4"/>
      <c r="AB45" s="4"/>
      <c r="AC45" s="4"/>
      <c r="AD45" s="6"/>
      <c r="AE45" s="6"/>
      <c r="AF45" s="7" t="s">
        <v>9</v>
      </c>
      <c r="AG45" s="6"/>
      <c r="AH45" s="6"/>
      <c r="AI45" s="6"/>
      <c r="AJ45" s="6"/>
      <c r="AK45" s="4"/>
      <c r="AL45" s="4"/>
      <c r="AM45" s="4"/>
      <c r="AN45" s="4"/>
      <c r="AQ45" s="4"/>
      <c r="AR45" s="6"/>
      <c r="AS45" s="6"/>
      <c r="AT45" s="7" t="s">
        <v>9</v>
      </c>
      <c r="AU45" s="6"/>
      <c r="AV45" s="6"/>
      <c r="AW45" s="6"/>
      <c r="AX45" s="6"/>
      <c r="AY45" s="4"/>
      <c r="AZ45" s="4"/>
      <c r="BA45" s="4"/>
      <c r="BB45" s="4"/>
      <c r="BC45" s="4"/>
      <c r="BD45" s="4"/>
    </row>
    <row r="46" ht="14.25">
      <c r="A46" s="5"/>
      <c r="B46" s="1"/>
      <c r="C46" s="66">
        <v>1</v>
      </c>
      <c r="D46" s="8">
        <v>2</v>
      </c>
      <c r="E46" s="66">
        <v>4</v>
      </c>
      <c r="F46" s="1">
        <v>8</v>
      </c>
      <c r="G46" s="1">
        <v>12</v>
      </c>
      <c r="H46" s="1">
        <v>16</v>
      </c>
      <c r="I46" s="1">
        <v>24</v>
      </c>
      <c r="J46" s="1">
        <v>32</v>
      </c>
      <c r="K46" s="1">
        <v>48</v>
      </c>
      <c r="L46" s="1">
        <v>64</v>
      </c>
      <c r="M46" s="4"/>
      <c r="N46" s="4"/>
      <c r="O46" s="5"/>
      <c r="P46" s="1"/>
      <c r="Q46" s="1" t="s">
        <v>10</v>
      </c>
      <c r="R46" s="1" t="s">
        <v>11</v>
      </c>
      <c r="S46" s="1" t="s">
        <v>12</v>
      </c>
      <c r="T46" s="1" t="s">
        <v>13</v>
      </c>
      <c r="U46" s="1" t="s">
        <v>14</v>
      </c>
      <c r="V46" s="1" t="s">
        <v>15</v>
      </c>
      <c r="W46" s="1" t="s">
        <v>16</v>
      </c>
      <c r="X46" s="1" t="s">
        <v>17</v>
      </c>
      <c r="Y46" s="1" t="s">
        <v>18</v>
      </c>
      <c r="Z46" s="1" t="s">
        <v>19</v>
      </c>
      <c r="AA46" s="67"/>
      <c r="AB46" s="4"/>
      <c r="AC46" s="5"/>
      <c r="AD46" s="1"/>
      <c r="AE46" s="1" t="s">
        <v>10</v>
      </c>
      <c r="AF46" s="1" t="s">
        <v>11</v>
      </c>
      <c r="AG46" s="1" t="s">
        <v>12</v>
      </c>
      <c r="AH46" s="1" t="s">
        <v>13</v>
      </c>
      <c r="AI46" s="1"/>
      <c r="AJ46" s="1" t="s">
        <v>15</v>
      </c>
      <c r="AK46" s="1"/>
      <c r="AL46" s="1" t="s">
        <v>17</v>
      </c>
      <c r="AM46" s="1"/>
      <c r="AN46" s="1" t="s">
        <v>19</v>
      </c>
      <c r="AO46" s="9" t="s">
        <v>20</v>
      </c>
      <c r="AQ46" s="5"/>
      <c r="AR46" s="1"/>
      <c r="AS46" s="1" t="s">
        <v>10</v>
      </c>
      <c r="AT46" s="1" t="s">
        <v>11</v>
      </c>
      <c r="AU46" s="1" t="s">
        <v>12</v>
      </c>
      <c r="AV46" s="1" t="s">
        <v>13</v>
      </c>
      <c r="AW46" s="1" t="s">
        <v>14</v>
      </c>
      <c r="AX46" s="1" t="s">
        <v>15</v>
      </c>
      <c r="AY46" s="1" t="s">
        <v>16</v>
      </c>
      <c r="AZ46" s="1" t="s">
        <v>17</v>
      </c>
      <c r="BA46" s="1" t="s">
        <v>18</v>
      </c>
      <c r="BB46" s="1" t="s">
        <v>19</v>
      </c>
      <c r="BC46" s="10"/>
      <c r="BD46" s="4"/>
    </row>
    <row r="47" ht="14.25">
      <c r="A47" s="5"/>
      <c r="B47" s="68" t="s">
        <v>21</v>
      </c>
      <c r="C47" s="52">
        <v>2.75</v>
      </c>
      <c r="D47" s="62">
        <v>3</v>
      </c>
      <c r="E47" s="69">
        <v>4.5</v>
      </c>
      <c r="F47" s="15">
        <v>5</v>
      </c>
      <c r="G47" s="15">
        <v>5</v>
      </c>
      <c r="H47" s="15">
        <v>5</v>
      </c>
      <c r="I47" s="15">
        <v>5</v>
      </c>
      <c r="J47" s="15">
        <v>5</v>
      </c>
      <c r="K47" s="15">
        <v>5</v>
      </c>
      <c r="L47" s="15">
        <v>5</v>
      </c>
      <c r="M47" s="4"/>
      <c r="N47" s="4"/>
      <c r="O47" s="5"/>
      <c r="P47" s="1" t="s">
        <v>21</v>
      </c>
      <c r="Q47" s="9" t="s">
        <v>22</v>
      </c>
      <c r="R47" s="9" t="s">
        <v>22</v>
      </c>
      <c r="S47" s="9" t="s">
        <v>22</v>
      </c>
      <c r="T47" s="16">
        <v>0.0030000000000000001</v>
      </c>
      <c r="U47" s="17">
        <v>0.00026400000000000002</v>
      </c>
      <c r="V47" s="18">
        <v>6.9999999999999994e-05</v>
      </c>
      <c r="W47" s="18">
        <v>1.4504240076125994e-05</v>
      </c>
      <c r="X47" s="18">
        <v>4.7999999999999998e-06</v>
      </c>
      <c r="Y47" s="18">
        <f>ABS(1.20030693682-Y$3)/Y$3</f>
        <v>8.6986841427624255e-07</v>
      </c>
      <c r="Z47" s="18">
        <v>1.5800000000000001e-07</v>
      </c>
      <c r="AA47" s="9" t="s">
        <v>23</v>
      </c>
      <c r="AC47" s="20" t="s">
        <v>4</v>
      </c>
      <c r="AD47" s="1" t="s">
        <v>5</v>
      </c>
      <c r="AE47" s="21">
        <v>4.296875</v>
      </c>
      <c r="AF47" s="21">
        <v>4.8515625</v>
      </c>
      <c r="AG47" s="22">
        <v>5</v>
      </c>
      <c r="AH47" s="22">
        <v>5</v>
      </c>
      <c r="AI47" s="22">
        <v>5</v>
      </c>
      <c r="AJ47" s="22">
        <v>5</v>
      </c>
      <c r="AK47" s="22">
        <v>5</v>
      </c>
      <c r="AL47" s="22">
        <v>5</v>
      </c>
      <c r="AM47" s="22">
        <v>5</v>
      </c>
      <c r="AN47" s="22">
        <v>5</v>
      </c>
      <c r="AO47" s="22" t="s">
        <v>24</v>
      </c>
      <c r="AQ47" s="5"/>
      <c r="AR47" s="1" t="s">
        <v>21</v>
      </c>
      <c r="AS47" s="9" t="s">
        <v>22</v>
      </c>
      <c r="AT47" s="9" t="s">
        <v>22</v>
      </c>
      <c r="AU47" s="9" t="s">
        <v>22</v>
      </c>
      <c r="AV47" s="23">
        <v>0.00029100000000000003</v>
      </c>
      <c r="AW47" s="24">
        <v>3.3300000000000003e-05</v>
      </c>
      <c r="AX47" s="25">
        <v>8.7299999999999994e-06</v>
      </c>
      <c r="AY47" s="25">
        <v>1.9e-06</v>
      </c>
      <c r="AZ47" s="18">
        <v>5.9500000000000002e-07</v>
      </c>
      <c r="BA47" s="18">
        <v>9.7500000000000006e-08</v>
      </c>
      <c r="BB47" s="18">
        <v>1.6400000000000001e-08</v>
      </c>
      <c r="BC47" s="9" t="s">
        <v>23</v>
      </c>
      <c r="BD47" s="4"/>
    </row>
    <row r="48" ht="14.25">
      <c r="A48" s="20"/>
      <c r="B48" s="68" t="s">
        <v>25</v>
      </c>
      <c r="C48" s="70">
        <v>2.375</v>
      </c>
      <c r="D48" s="71">
        <v>3</v>
      </c>
      <c r="E48" s="15">
        <v>5</v>
      </c>
      <c r="F48" s="15">
        <v>5</v>
      </c>
      <c r="G48" s="15">
        <v>5</v>
      </c>
      <c r="H48" s="15">
        <v>5</v>
      </c>
      <c r="I48" s="72">
        <v>5</v>
      </c>
      <c r="J48" s="72">
        <v>5</v>
      </c>
      <c r="K48" s="72">
        <v>5</v>
      </c>
      <c r="L48" s="72">
        <v>5</v>
      </c>
      <c r="M48" s="67"/>
      <c r="N48" s="4"/>
      <c r="O48" s="20"/>
      <c r="P48" s="1" t="s">
        <v>25</v>
      </c>
      <c r="Q48" s="9" t="s">
        <v>22</v>
      </c>
      <c r="R48" s="9" t="s">
        <v>22</v>
      </c>
      <c r="S48" s="16">
        <v>0.0089999999999999993</v>
      </c>
      <c r="T48" s="25">
        <v>0.00018200000000000001</v>
      </c>
      <c r="U48" s="18">
        <v>1.34e-05</v>
      </c>
      <c r="V48" s="18">
        <v>3.6399999999999999e-06</v>
      </c>
      <c r="W48" s="18">
        <v>7.8946477376529366e-07</v>
      </c>
      <c r="X48" s="18">
        <v>2.6300000000000001e-07</v>
      </c>
      <c r="Y48" s="18">
        <f>ABS(1.20030792052-Y$3)/Y$3</f>
        <v>5.0328749663494e-08</v>
      </c>
      <c r="Z48" s="18">
        <v>9.2900000000000008e-09</v>
      </c>
      <c r="AA48" s="31" t="s">
        <v>26</v>
      </c>
      <c r="AC48" s="3"/>
      <c r="AQ48" s="20"/>
      <c r="AR48" s="1" t="s">
        <v>25</v>
      </c>
      <c r="AS48" s="29" t="s">
        <v>22</v>
      </c>
      <c r="AT48" s="32" t="s">
        <v>22</v>
      </c>
      <c r="AU48" s="23">
        <v>0.00038499999999999998</v>
      </c>
      <c r="AV48" s="63">
        <v>1.49e-05</v>
      </c>
      <c r="AW48" s="17">
        <v>1.5e-06</v>
      </c>
      <c r="AX48" s="18">
        <v>3.72e-07</v>
      </c>
      <c r="AY48" s="18">
        <v>7.6799999999999999e-08</v>
      </c>
      <c r="AZ48" s="18">
        <v>2.29e-08</v>
      </c>
      <c r="BA48" s="18">
        <v>3.8099999999999999e-09</v>
      </c>
      <c r="BB48" s="34">
        <v>6.0499999999999998e-10</v>
      </c>
      <c r="BC48" s="31" t="s">
        <v>27</v>
      </c>
      <c r="BD48" s="4"/>
    </row>
    <row r="49" ht="14.25">
      <c r="A49" s="5"/>
      <c r="B49" s="68" t="s">
        <v>28</v>
      </c>
      <c r="C49" s="71">
        <v>2.5625</v>
      </c>
      <c r="D49" s="15">
        <v>5</v>
      </c>
      <c r="E49" s="15">
        <v>5</v>
      </c>
      <c r="F49" s="15">
        <v>5</v>
      </c>
      <c r="G49" s="15">
        <v>5</v>
      </c>
      <c r="H49" s="15">
        <v>5</v>
      </c>
      <c r="I49" s="15">
        <v>5</v>
      </c>
      <c r="J49" s="15">
        <v>5</v>
      </c>
      <c r="K49" s="15">
        <v>5</v>
      </c>
      <c r="L49" s="15">
        <v>5</v>
      </c>
      <c r="M49" s="9" t="s">
        <v>23</v>
      </c>
      <c r="N49" s="19"/>
      <c r="O49" s="4"/>
      <c r="P49" s="1" t="s">
        <v>28</v>
      </c>
      <c r="Q49" s="9" t="s">
        <v>22</v>
      </c>
      <c r="R49" s="30">
        <v>0.014999999999999999</v>
      </c>
      <c r="S49" s="25">
        <v>0.00076099999999999996</v>
      </c>
      <c r="T49" s="18">
        <v>9.4499999999999993e-06</v>
      </c>
      <c r="U49" s="18">
        <v>7.0476680691177568e-07</v>
      </c>
      <c r="V49" s="18">
        <v>2.0100000000000001e-07</v>
      </c>
      <c r="W49" s="18">
        <v>4.53418209523113e-08</v>
      </c>
      <c r="X49" s="18">
        <v>1.52e-08</v>
      </c>
      <c r="Y49" s="18">
        <f>ABS(1.20030797732-Y$3)/Y$3</f>
        <v>3.0075613192261688e-09</v>
      </c>
      <c r="Z49" s="34">
        <v>5.6300000000000002e-10</v>
      </c>
      <c r="AA49" s="30" t="s">
        <v>29</v>
      </c>
      <c r="AC49" s="4"/>
      <c r="AQ49" s="5"/>
      <c r="AR49" s="1" t="s">
        <v>28</v>
      </c>
      <c r="AS49" s="29" t="s">
        <v>22</v>
      </c>
      <c r="AT49" s="57">
        <v>0.00025300000000000002</v>
      </c>
      <c r="AU49" s="64">
        <v>2.58e-05</v>
      </c>
      <c r="AV49" s="18">
        <v>6.8500000000000001e-07</v>
      </c>
      <c r="AW49" s="18">
        <v>7.2100000000000004e-08</v>
      </c>
      <c r="AX49" s="18">
        <v>1.7500000000000001e-08</v>
      </c>
      <c r="AY49" s="18">
        <v>3.4699999999999998e-09</v>
      </c>
      <c r="AZ49" s="34">
        <v>9.7399999999999995e-10</v>
      </c>
      <c r="BA49" s="34">
        <v>1.6699999999999999e-10</v>
      </c>
      <c r="BB49" s="34">
        <v>2.4499999999999999e-11</v>
      </c>
      <c r="BC49" s="30" t="s">
        <v>30</v>
      </c>
      <c r="BD49" s="4"/>
    </row>
    <row r="50" ht="14.25">
      <c r="A50" s="20" t="s">
        <v>4</v>
      </c>
      <c r="B50" s="68" t="s">
        <v>31</v>
      </c>
      <c r="C50" s="71">
        <v>5</v>
      </c>
      <c r="D50" s="15">
        <v>5</v>
      </c>
      <c r="E50" s="15">
        <v>5</v>
      </c>
      <c r="F50" s="15">
        <v>5</v>
      </c>
      <c r="G50" s="15">
        <v>5</v>
      </c>
      <c r="H50" s="15">
        <v>5</v>
      </c>
      <c r="I50" s="15">
        <v>5</v>
      </c>
      <c r="J50" s="15">
        <v>5</v>
      </c>
      <c r="K50" s="15">
        <v>5</v>
      </c>
      <c r="L50" s="15">
        <v>5</v>
      </c>
      <c r="M50" s="22" t="s">
        <v>32</v>
      </c>
      <c r="N50" s="73"/>
      <c r="O50" s="3" t="s">
        <v>4</v>
      </c>
      <c r="P50" s="1" t="s">
        <v>31</v>
      </c>
      <c r="Q50" s="9" t="s">
        <v>22</v>
      </c>
      <c r="R50" s="16">
        <v>0.0022000000000000001</v>
      </c>
      <c r="S50" s="18">
        <v>3.6399999999999997e-05</v>
      </c>
      <c r="T50" s="18">
        <v>5.0999999999999999e-07</v>
      </c>
      <c r="U50" s="18">
        <v>3.9541822591621121e-08</v>
      </c>
      <c r="V50" s="18">
        <v>1.1700000000000001e-08</v>
      </c>
      <c r="W50" s="18">
        <v>2.7031787883111639e-09</v>
      </c>
      <c r="X50" s="34">
        <v>9.1600000000000004e-10</v>
      </c>
      <c r="Y50" s="34">
        <f>ABS(1.20030798071-Y$3)/Y$3</f>
        <v>1.8328612293973137e-10</v>
      </c>
      <c r="Z50" s="34">
        <v>3.4799999999999999e-11</v>
      </c>
      <c r="AA50" s="16" t="s">
        <v>27</v>
      </c>
      <c r="AC50" s="3"/>
      <c r="AQ50" s="20" t="s">
        <v>4</v>
      </c>
      <c r="AR50" s="1" t="s">
        <v>31</v>
      </c>
      <c r="AS50" s="32" t="s">
        <v>22</v>
      </c>
      <c r="AT50" s="65">
        <v>2.6699999999999998e-05</v>
      </c>
      <c r="AU50" s="25">
        <v>1.1200000000000001e-06</v>
      </c>
      <c r="AV50" s="18">
        <v>3.3799999999999998e-08</v>
      </c>
      <c r="AW50" s="18">
        <v>3.8000000000000001e-09</v>
      </c>
      <c r="AX50" s="44">
        <v>9.0899999999999996e-10</v>
      </c>
      <c r="AY50" s="44">
        <v>1.7399999999999999e-10</v>
      </c>
      <c r="AZ50" s="44">
        <v>4.7099999999999998e-11</v>
      </c>
      <c r="BA50" s="44">
        <v>9.7899999999999993e-12</v>
      </c>
      <c r="BB50" s="44">
        <v>2.8000000000000002e-12</v>
      </c>
      <c r="BC50" s="16" t="s">
        <v>33</v>
      </c>
      <c r="BD50" s="4"/>
    </row>
    <row r="51" ht="14.25">
      <c r="A51" s="5"/>
      <c r="B51" s="1" t="s">
        <v>34</v>
      </c>
      <c r="C51" s="15">
        <v>5</v>
      </c>
      <c r="D51" s="15">
        <v>5</v>
      </c>
      <c r="E51" s="15">
        <v>5</v>
      </c>
      <c r="F51" s="15">
        <v>5</v>
      </c>
      <c r="G51" s="15">
        <v>5</v>
      </c>
      <c r="H51" s="15">
        <v>5</v>
      </c>
      <c r="I51" s="15">
        <v>5</v>
      </c>
      <c r="J51" s="15">
        <v>5</v>
      </c>
      <c r="K51" s="15">
        <v>5</v>
      </c>
      <c r="L51" s="15">
        <v>5</v>
      </c>
      <c r="M51" s="4"/>
      <c r="N51" s="4"/>
      <c r="O51" s="5"/>
      <c r="P51" s="1" t="s">
        <v>34</v>
      </c>
      <c r="Q51" s="16">
        <v>0.0038999999999999998</v>
      </c>
      <c r="R51" s="25">
        <v>0.26444728792420652</v>
      </c>
      <c r="S51" s="18">
        <v>1.7099999999999999e-06</v>
      </c>
      <c r="T51" s="18">
        <v>2.9000000000000002e-08</v>
      </c>
      <c r="U51" s="18">
        <v>2.3179596311956221e-09</v>
      </c>
      <c r="V51" s="44">
        <v>7.0099999999999996e-10</v>
      </c>
      <c r="W51" s="34">
        <v>1.6482798764934358e-10</v>
      </c>
      <c r="X51" s="34">
        <v>5.9899999999999995e-11</v>
      </c>
      <c r="Y51" s="34">
        <f>ABS(1.20030798092-Y$3)/Y$3</f>
        <v>8.3311958149738358e-12</v>
      </c>
      <c r="Z51" s="34">
        <v>2.0499999999999999e-12</v>
      </c>
      <c r="AA51" s="46" t="s">
        <v>30</v>
      </c>
      <c r="AC51" s="4"/>
      <c r="AQ51" s="5"/>
      <c r="AR51" s="1" t="s">
        <v>34</v>
      </c>
      <c r="AS51" s="74">
        <v>1.4600000000000001e-05</v>
      </c>
      <c r="AT51" s="25">
        <v>1.26e-06</v>
      </c>
      <c r="AU51" s="18">
        <v>4.9899999999999997e-08</v>
      </c>
      <c r="AV51" s="18">
        <v>1.8199999999999999e-09</v>
      </c>
      <c r="AW51" s="34">
        <v>2.1400000000000001e-10</v>
      </c>
      <c r="AX51" s="44">
        <v>4.9499999999999997e-11</v>
      </c>
      <c r="AY51" s="44">
        <v>9.2899999999999994e-12</v>
      </c>
      <c r="AZ51" s="44">
        <v>3.27e-12</v>
      </c>
      <c r="BA51" s="44">
        <v>2.41e-12</v>
      </c>
      <c r="BB51" s="44">
        <v>1.9600000000000001e-12</v>
      </c>
      <c r="BC51" s="46" t="s">
        <v>35</v>
      </c>
      <c r="BD51" s="4"/>
    </row>
    <row r="52" ht="14.25">
      <c r="A52" s="5"/>
      <c r="B52" s="1" t="s">
        <v>36</v>
      </c>
      <c r="C52" s="15">
        <v>5</v>
      </c>
      <c r="D52" s="15">
        <v>5</v>
      </c>
      <c r="E52" s="15">
        <v>5</v>
      </c>
      <c r="F52" s="15">
        <v>5</v>
      </c>
      <c r="G52" s="15">
        <v>5</v>
      </c>
      <c r="H52" s="15">
        <v>5</v>
      </c>
      <c r="I52" s="15">
        <v>5</v>
      </c>
      <c r="J52" s="15">
        <v>5</v>
      </c>
      <c r="K52" s="15">
        <v>5</v>
      </c>
      <c r="L52" s="15">
        <v>5</v>
      </c>
      <c r="M52" s="4"/>
      <c r="N52" s="4"/>
      <c r="O52" s="5"/>
      <c r="P52" s="1" t="s">
        <v>36</v>
      </c>
      <c r="Q52" s="25">
        <v>0.00051699999999999999</v>
      </c>
      <c r="R52" s="18">
        <v>4.9171302741709417e-06</v>
      </c>
      <c r="S52" s="18">
        <v>8.3599999999999994e-08</v>
      </c>
      <c r="T52" s="18">
        <v>1.63e-09</v>
      </c>
      <c r="U52" s="34">
        <v>1.3115477318414371e-10</v>
      </c>
      <c r="V52" s="44">
        <v>4.0399999999999997e-11</v>
      </c>
      <c r="W52" s="34">
        <v>9.4187421513910617e-12</v>
      </c>
      <c r="X52" s="34">
        <v>5.9900000000000001e-12</v>
      </c>
      <c r="Y52" s="34">
        <f>ABS(1.20030798093-Y$3)/Y$3</f>
        <v>0</v>
      </c>
      <c r="Z52" s="34">
        <v>0</v>
      </c>
      <c r="AA52" s="48" t="s">
        <v>37</v>
      </c>
      <c r="AC52" s="4"/>
      <c r="AQ52" s="5"/>
      <c r="AR52" s="1" t="s">
        <v>36</v>
      </c>
      <c r="AS52" s="25">
        <v>2.5299999999999999e-06</v>
      </c>
      <c r="AT52" s="18">
        <v>5.1200000000000002e-08</v>
      </c>
      <c r="AU52" s="18">
        <v>2.45e-09</v>
      </c>
      <c r="AV52" s="44">
        <v>1.0300000000000001e-10</v>
      </c>
      <c r="AW52" s="44">
        <v>1.2000000000000001e-11</v>
      </c>
      <c r="AX52" s="44">
        <v>3.2500000000000001e-12</v>
      </c>
      <c r="AY52" s="44">
        <v>2.4499999999999999e-12</v>
      </c>
      <c r="AZ52" s="44">
        <v>2.8599999999999999e-12</v>
      </c>
      <c r="BA52" s="44">
        <v>3.12e-12</v>
      </c>
      <c r="BB52" s="44">
        <v>2.0100000000000001e-12</v>
      </c>
      <c r="BC52" s="48" t="s">
        <v>38</v>
      </c>
      <c r="BD52" s="4"/>
    </row>
    <row r="53" ht="14.25">
      <c r="A53" s="5"/>
      <c r="B53" s="1" t="s">
        <v>5</v>
      </c>
      <c r="C53" s="15">
        <v>5</v>
      </c>
      <c r="D53" s="15">
        <v>5</v>
      </c>
      <c r="E53" s="15">
        <v>5</v>
      </c>
      <c r="F53" s="15">
        <v>5</v>
      </c>
      <c r="G53" s="15">
        <v>5</v>
      </c>
      <c r="H53" s="15">
        <v>5</v>
      </c>
      <c r="I53" s="15">
        <v>5</v>
      </c>
      <c r="J53" s="15">
        <v>5</v>
      </c>
      <c r="K53" s="15">
        <v>5</v>
      </c>
      <c r="L53" s="15">
        <v>5</v>
      </c>
      <c r="M53" s="4"/>
      <c r="N53" s="4"/>
      <c r="O53" s="5"/>
      <c r="P53" s="1" t="s">
        <v>5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9" t="s">
        <v>39</v>
      </c>
      <c r="AB53" s="4"/>
      <c r="AC53" s="4"/>
      <c r="AQ53" s="5"/>
      <c r="AR53" s="1" t="s">
        <v>5</v>
      </c>
      <c r="AS53" s="25">
        <v>1.06e-06</v>
      </c>
      <c r="AT53" s="18">
        <v>2.3499999999999999e-09</v>
      </c>
      <c r="AU53" s="44">
        <v>1.2999999999999999e-10</v>
      </c>
      <c r="AV53" s="44">
        <v>6.3100000000000004e-12</v>
      </c>
      <c r="AW53" s="44">
        <v>2.8000000000000002e-12</v>
      </c>
      <c r="AX53" s="44">
        <v>2.7799999999999999e-12</v>
      </c>
      <c r="AY53" s="44">
        <v>3.07e-12</v>
      </c>
      <c r="AZ53" s="44">
        <v>3.1000000000000001e-12</v>
      </c>
      <c r="BA53" s="44">
        <v>3.55e-12</v>
      </c>
      <c r="BB53" s="44">
        <v>2.2100000000000001e-12</v>
      </c>
      <c r="BC53" s="49" t="s">
        <v>40</v>
      </c>
      <c r="BD53" s="4"/>
    </row>
    <row r="54" ht="14.25"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ht="14.25">
      <c r="AZ55" s="3"/>
      <c r="BB55" s="3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7</cp:revision>
  <dcterms:modified xsi:type="dcterms:W3CDTF">2026-06-12T15:57:28Z</dcterms:modified>
</cp:coreProperties>
</file>